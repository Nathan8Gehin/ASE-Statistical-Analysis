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25"/>
  <workbookPr/>
  <xr:revisionPtr revIDLastSave="0" documentId="8_{88DC9352-CF0A-4A29-BEE8-2E10099F31C0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Base" sheetId="1" r:id="rId1"/>
  </sheets>
  <definedNames>
    <definedName name="_xlnm._FilterDatabase" localSheetId="0" hidden="1">Base!$A$1:$M$101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1" i="1" l="1"/>
  <c r="E99" i="1"/>
  <c r="F99" i="1" s="1"/>
  <c r="H99" i="1" s="1"/>
  <c r="E100" i="1"/>
  <c r="F100" i="1" s="1"/>
  <c r="H100" i="1" s="1"/>
  <c r="E101" i="1"/>
  <c r="F101" i="1" s="1"/>
  <c r="H101" i="1" s="1"/>
  <c r="E98" i="1"/>
  <c r="E3" i="1"/>
  <c r="F3" i="1" s="1"/>
  <c r="H3" i="1" s="1"/>
  <c r="E4" i="1"/>
  <c r="F4" i="1" s="1"/>
  <c r="H4" i="1" s="1"/>
  <c r="E5" i="1"/>
  <c r="F5" i="1" s="1"/>
  <c r="H5" i="1" s="1"/>
  <c r="E6" i="1"/>
  <c r="F6" i="1" s="1"/>
  <c r="H6" i="1" s="1"/>
  <c r="E7" i="1"/>
  <c r="F7" i="1" s="1"/>
  <c r="H7" i="1" s="1"/>
  <c r="E8" i="1"/>
  <c r="F8" i="1" s="1"/>
  <c r="H8" i="1" s="1"/>
  <c r="E9" i="1"/>
  <c r="F9" i="1" s="1"/>
  <c r="H9" i="1" s="1"/>
  <c r="E10" i="1"/>
  <c r="F10" i="1" s="1"/>
  <c r="H10" i="1" s="1"/>
  <c r="E11" i="1"/>
  <c r="F11" i="1" s="1"/>
  <c r="H11" i="1" s="1"/>
  <c r="E12" i="1"/>
  <c r="F12" i="1" s="1"/>
  <c r="H12" i="1" s="1"/>
  <c r="E13" i="1"/>
  <c r="F13" i="1" s="1"/>
  <c r="H13" i="1" s="1"/>
  <c r="E14" i="1"/>
  <c r="F14" i="1" s="1"/>
  <c r="H14" i="1" s="1"/>
  <c r="E15" i="1"/>
  <c r="F15" i="1" s="1"/>
  <c r="H15" i="1" s="1"/>
  <c r="E16" i="1"/>
  <c r="F16" i="1" s="1"/>
  <c r="H16" i="1" s="1"/>
  <c r="E17" i="1"/>
  <c r="F17" i="1" s="1"/>
  <c r="H17" i="1" s="1"/>
  <c r="E18" i="1"/>
  <c r="F18" i="1" s="1"/>
  <c r="H18" i="1" s="1"/>
  <c r="E19" i="1"/>
  <c r="F19" i="1" s="1"/>
  <c r="H19" i="1" s="1"/>
  <c r="E20" i="1"/>
  <c r="F20" i="1" s="1"/>
  <c r="H20" i="1" s="1"/>
  <c r="E21" i="1"/>
  <c r="F21" i="1" s="1"/>
  <c r="H21" i="1" s="1"/>
  <c r="E22" i="1"/>
  <c r="F22" i="1" s="1"/>
  <c r="H22" i="1" s="1"/>
  <c r="E23" i="1"/>
  <c r="F23" i="1" s="1"/>
  <c r="H23" i="1" s="1"/>
  <c r="E24" i="1"/>
  <c r="F24" i="1" s="1"/>
  <c r="H24" i="1" s="1"/>
  <c r="E25" i="1"/>
  <c r="F25" i="1" s="1"/>
  <c r="H25" i="1" s="1"/>
  <c r="E26" i="1"/>
  <c r="F26" i="1" s="1"/>
  <c r="H26" i="1" s="1"/>
  <c r="E27" i="1"/>
  <c r="F27" i="1" s="1"/>
  <c r="H27" i="1" s="1"/>
  <c r="E28" i="1"/>
  <c r="F28" i="1" s="1"/>
  <c r="H28" i="1" s="1"/>
  <c r="E29" i="1"/>
  <c r="F29" i="1" s="1"/>
  <c r="H29" i="1" s="1"/>
  <c r="E30" i="1"/>
  <c r="F30" i="1" s="1"/>
  <c r="H30" i="1" s="1"/>
  <c r="E31" i="1"/>
  <c r="F31" i="1" s="1"/>
  <c r="H31" i="1" s="1"/>
  <c r="E32" i="1"/>
  <c r="F32" i="1" s="1"/>
  <c r="H32" i="1" s="1"/>
  <c r="E33" i="1"/>
  <c r="F33" i="1" s="1"/>
  <c r="H33" i="1" s="1"/>
  <c r="E34" i="1"/>
  <c r="F34" i="1" s="1"/>
  <c r="H34" i="1" s="1"/>
  <c r="E35" i="1"/>
  <c r="F35" i="1" s="1"/>
  <c r="H35" i="1" s="1"/>
  <c r="E36" i="1"/>
  <c r="F36" i="1" s="1"/>
  <c r="H36" i="1" s="1"/>
  <c r="E37" i="1"/>
  <c r="F37" i="1" s="1"/>
  <c r="H37" i="1" s="1"/>
  <c r="E38" i="1"/>
  <c r="F38" i="1" s="1"/>
  <c r="H38" i="1" s="1"/>
  <c r="E39" i="1"/>
  <c r="F39" i="1" s="1"/>
  <c r="H39" i="1" s="1"/>
  <c r="E40" i="1"/>
  <c r="F40" i="1" s="1"/>
  <c r="H40" i="1" s="1"/>
  <c r="E41" i="1"/>
  <c r="F41" i="1" s="1"/>
  <c r="H41" i="1" s="1"/>
  <c r="E42" i="1"/>
  <c r="F42" i="1" s="1"/>
  <c r="H42" i="1" s="1"/>
  <c r="E43" i="1"/>
  <c r="F43" i="1" s="1"/>
  <c r="H43" i="1" s="1"/>
  <c r="E44" i="1"/>
  <c r="F44" i="1" s="1"/>
  <c r="H44" i="1" s="1"/>
  <c r="E45" i="1"/>
  <c r="F45" i="1" s="1"/>
  <c r="H45" i="1" s="1"/>
  <c r="E46" i="1"/>
  <c r="F46" i="1" s="1"/>
  <c r="H46" i="1" s="1"/>
  <c r="E47" i="1"/>
  <c r="F47" i="1" s="1"/>
  <c r="H47" i="1" s="1"/>
  <c r="E48" i="1"/>
  <c r="F48" i="1" s="1"/>
  <c r="H48" i="1" s="1"/>
  <c r="E49" i="1"/>
  <c r="F49" i="1" s="1"/>
  <c r="H49" i="1" s="1"/>
  <c r="E50" i="1"/>
  <c r="F50" i="1" s="1"/>
  <c r="H50" i="1" s="1"/>
  <c r="E51" i="1"/>
  <c r="F51" i="1" s="1"/>
  <c r="H51" i="1" s="1"/>
  <c r="E52" i="1"/>
  <c r="F52" i="1" s="1"/>
  <c r="H52" i="1" s="1"/>
  <c r="E53" i="1"/>
  <c r="F53" i="1" s="1"/>
  <c r="H53" i="1" s="1"/>
  <c r="E54" i="1"/>
  <c r="F54" i="1" s="1"/>
  <c r="H54" i="1" s="1"/>
  <c r="E55" i="1"/>
  <c r="F55" i="1" s="1"/>
  <c r="H55" i="1" s="1"/>
  <c r="E56" i="1"/>
  <c r="F56" i="1" s="1"/>
  <c r="H56" i="1" s="1"/>
  <c r="E57" i="1"/>
  <c r="F57" i="1" s="1"/>
  <c r="H57" i="1" s="1"/>
  <c r="E58" i="1"/>
  <c r="F58" i="1" s="1"/>
  <c r="H58" i="1" s="1"/>
  <c r="E59" i="1"/>
  <c r="F59" i="1" s="1"/>
  <c r="H59" i="1" s="1"/>
  <c r="E60" i="1"/>
  <c r="F60" i="1" s="1"/>
  <c r="H60" i="1" s="1"/>
  <c r="E61" i="1"/>
  <c r="F61" i="1" s="1"/>
  <c r="H61" i="1" s="1"/>
  <c r="E62" i="1"/>
  <c r="F62" i="1" s="1"/>
  <c r="H62" i="1" s="1"/>
  <c r="E63" i="1"/>
  <c r="F63" i="1" s="1"/>
  <c r="H63" i="1" s="1"/>
  <c r="E64" i="1"/>
  <c r="F64" i="1" s="1"/>
  <c r="H64" i="1" s="1"/>
  <c r="E65" i="1"/>
  <c r="F65" i="1" s="1"/>
  <c r="H65" i="1" s="1"/>
  <c r="E66" i="1"/>
  <c r="F66" i="1" s="1"/>
  <c r="H66" i="1" s="1"/>
  <c r="E67" i="1"/>
  <c r="F67" i="1" s="1"/>
  <c r="H67" i="1" s="1"/>
  <c r="E68" i="1"/>
  <c r="F68" i="1" s="1"/>
  <c r="H68" i="1" s="1"/>
  <c r="E69" i="1"/>
  <c r="F69" i="1" s="1"/>
  <c r="H69" i="1" s="1"/>
  <c r="E70" i="1"/>
  <c r="F70" i="1" s="1"/>
  <c r="H70" i="1" s="1"/>
  <c r="E71" i="1"/>
  <c r="F71" i="1" s="1"/>
  <c r="E72" i="1"/>
  <c r="F72" i="1" s="1"/>
  <c r="H72" i="1" s="1"/>
  <c r="E73" i="1"/>
  <c r="F73" i="1" s="1"/>
  <c r="H73" i="1" s="1"/>
  <c r="E74" i="1"/>
  <c r="F74" i="1" s="1"/>
  <c r="H74" i="1" s="1"/>
  <c r="E75" i="1"/>
  <c r="F75" i="1" s="1"/>
  <c r="H75" i="1" s="1"/>
  <c r="E76" i="1"/>
  <c r="F76" i="1" s="1"/>
  <c r="H76" i="1" s="1"/>
  <c r="E77" i="1"/>
  <c r="F77" i="1" s="1"/>
  <c r="H77" i="1" s="1"/>
  <c r="E78" i="1"/>
  <c r="F78" i="1" s="1"/>
  <c r="H78" i="1" s="1"/>
  <c r="E79" i="1"/>
  <c r="F79" i="1" s="1"/>
  <c r="H79" i="1" s="1"/>
  <c r="E80" i="1"/>
  <c r="F80" i="1" s="1"/>
  <c r="H80" i="1" s="1"/>
  <c r="E81" i="1"/>
  <c r="F81" i="1" s="1"/>
  <c r="H81" i="1" s="1"/>
  <c r="E82" i="1"/>
  <c r="F82" i="1" s="1"/>
  <c r="H82" i="1" s="1"/>
  <c r="E83" i="1"/>
  <c r="F83" i="1" s="1"/>
  <c r="H83" i="1" s="1"/>
  <c r="E84" i="1"/>
  <c r="F84" i="1" s="1"/>
  <c r="H84" i="1" s="1"/>
  <c r="E85" i="1"/>
  <c r="F85" i="1" s="1"/>
  <c r="H85" i="1" s="1"/>
  <c r="E86" i="1"/>
  <c r="F86" i="1" s="1"/>
  <c r="H86" i="1" s="1"/>
  <c r="E87" i="1"/>
  <c r="F87" i="1" s="1"/>
  <c r="H87" i="1" s="1"/>
  <c r="E88" i="1"/>
  <c r="F88" i="1" s="1"/>
  <c r="H88" i="1" s="1"/>
  <c r="E89" i="1"/>
  <c r="F89" i="1" s="1"/>
  <c r="H89" i="1" s="1"/>
  <c r="E90" i="1"/>
  <c r="F90" i="1" s="1"/>
  <c r="H90" i="1" s="1"/>
  <c r="E91" i="1"/>
  <c r="F91" i="1" s="1"/>
  <c r="H91" i="1" s="1"/>
  <c r="E92" i="1"/>
  <c r="F92" i="1" s="1"/>
  <c r="H92" i="1" s="1"/>
  <c r="E93" i="1"/>
  <c r="F93" i="1" s="1"/>
  <c r="H93" i="1" s="1"/>
  <c r="E94" i="1"/>
  <c r="F94" i="1" s="1"/>
  <c r="H94" i="1" s="1"/>
  <c r="E95" i="1"/>
  <c r="F95" i="1" s="1"/>
  <c r="H95" i="1" s="1"/>
  <c r="E96" i="1"/>
  <c r="F96" i="1" s="1"/>
  <c r="H96" i="1" s="1"/>
  <c r="E97" i="1"/>
  <c r="F97" i="1" s="1"/>
  <c r="H97" i="1" s="1"/>
  <c r="E2" i="1"/>
  <c r="F2" i="1" l="1"/>
  <c r="H2" i="1" s="1"/>
  <c r="F98" i="1"/>
  <c r="H98" i="1" s="1"/>
  <c r="H71" i="1"/>
</calcChain>
</file>

<file path=xl/sharedStrings.xml><?xml version="1.0" encoding="utf-8"?>
<sst xmlns="http://schemas.openxmlformats.org/spreadsheetml/2006/main" count="218" uniqueCount="213">
  <si>
    <t>N°</t>
  </si>
  <si>
    <t>Département</t>
  </si>
  <si>
    <t>0 à 19 ans</t>
  </si>
  <si>
    <t>20 à 24 ans</t>
  </si>
  <si>
    <t>20-24/5</t>
  </si>
  <si>
    <t xml:space="preserve">0 à 20 ans </t>
  </si>
  <si>
    <t>Total des enfants acceuilli</t>
  </si>
  <si>
    <t>taux_placement_enfant_(Pour_1000)</t>
  </si>
  <si>
    <t>taux_chomage</t>
  </si>
  <si>
    <t>taux_pauvreté</t>
  </si>
  <si>
    <t xml:space="preserve">taux_immigration </t>
  </si>
  <si>
    <t>taux_logement_sociaux_(pour_10000_hab)</t>
  </si>
  <si>
    <t>Population_ayant_bac</t>
  </si>
  <si>
    <t>Capacite_acceuil_(pour_1000)</t>
  </si>
  <si>
    <t>Acceuil_Adultes_Handicapées_(Pour_1000)</t>
  </si>
  <si>
    <t>01</t>
  </si>
  <si>
    <t>Ain</t>
  </si>
  <si>
    <t>02</t>
  </si>
  <si>
    <t>Aisne</t>
  </si>
  <si>
    <t>03</t>
  </si>
  <si>
    <t>Allier</t>
  </si>
  <si>
    <t>04</t>
  </si>
  <si>
    <t>Alpes-de-Haute-Provence</t>
  </si>
  <si>
    <t>05</t>
  </si>
  <si>
    <t>Hautes-Alpes</t>
  </si>
  <si>
    <t>06</t>
  </si>
  <si>
    <t>Alpes-Maritimes</t>
  </si>
  <si>
    <t>07</t>
  </si>
  <si>
    <t>Ardèche</t>
  </si>
  <si>
    <t>Ta</t>
  </si>
  <si>
    <t>08</t>
  </si>
  <si>
    <t>Ardennes</t>
  </si>
  <si>
    <t>09</t>
  </si>
  <si>
    <t>Ariège</t>
  </si>
  <si>
    <t>10</t>
  </si>
  <si>
    <t>Aube</t>
  </si>
  <si>
    <t>11</t>
  </si>
  <si>
    <t>Aude</t>
  </si>
  <si>
    <t>12</t>
  </si>
  <si>
    <t>Aveyron</t>
  </si>
  <si>
    <t>13</t>
  </si>
  <si>
    <t>Bouches-du-Rhône</t>
  </si>
  <si>
    <t>14</t>
  </si>
  <si>
    <t>Calvados</t>
  </si>
  <si>
    <t>15</t>
  </si>
  <si>
    <t>Cantal</t>
  </si>
  <si>
    <t>16</t>
  </si>
  <si>
    <t>Charente</t>
  </si>
  <si>
    <t>17</t>
  </si>
  <si>
    <t>Charente-Maritime</t>
  </si>
  <si>
    <t>18</t>
  </si>
  <si>
    <t>Cher</t>
  </si>
  <si>
    <t>19</t>
  </si>
  <si>
    <t>Corrèze</t>
  </si>
  <si>
    <t>2A</t>
  </si>
  <si>
    <t>Corse-du-Sud</t>
  </si>
  <si>
    <t>2B</t>
  </si>
  <si>
    <t>Haute-Corse</t>
  </si>
  <si>
    <t>21</t>
  </si>
  <si>
    <t>Côte-d'Or</t>
  </si>
  <si>
    <t>22</t>
  </si>
  <si>
    <t>Côtes-d'Armor</t>
  </si>
  <si>
    <t>23</t>
  </si>
  <si>
    <t>Creuse</t>
  </si>
  <si>
    <t>24</t>
  </si>
  <si>
    <t>Dordogne</t>
  </si>
  <si>
    <t>25</t>
  </si>
  <si>
    <t>Doubs</t>
  </si>
  <si>
    <t>26</t>
  </si>
  <si>
    <t>Drôme</t>
  </si>
  <si>
    <t>27</t>
  </si>
  <si>
    <t>Eure</t>
  </si>
  <si>
    <t>28</t>
  </si>
  <si>
    <t>Eure-et-Loir</t>
  </si>
  <si>
    <t>29</t>
  </si>
  <si>
    <t>Finistère</t>
  </si>
  <si>
    <t>30</t>
  </si>
  <si>
    <t>Gard</t>
  </si>
  <si>
    <t>31</t>
  </si>
  <si>
    <t>Haute-Garonne</t>
  </si>
  <si>
    <t>32</t>
  </si>
  <si>
    <t>Gers</t>
  </si>
  <si>
    <t>33</t>
  </si>
  <si>
    <t>Gironde</t>
  </si>
  <si>
    <t>34</t>
  </si>
  <si>
    <t>Hérault</t>
  </si>
  <si>
    <t>35</t>
  </si>
  <si>
    <t>Ille-et-Vilaine</t>
  </si>
  <si>
    <t>36</t>
  </si>
  <si>
    <t>Indre</t>
  </si>
  <si>
    <t>37</t>
  </si>
  <si>
    <t>Indre-et-Loire</t>
  </si>
  <si>
    <t>38</t>
  </si>
  <si>
    <t>Isère</t>
  </si>
  <si>
    <t>39</t>
  </si>
  <si>
    <t>Jura</t>
  </si>
  <si>
    <t>40</t>
  </si>
  <si>
    <t>Landes</t>
  </si>
  <si>
    <t>41</t>
  </si>
  <si>
    <t>Loir-et-Cher</t>
  </si>
  <si>
    <t>42</t>
  </si>
  <si>
    <t>Loire</t>
  </si>
  <si>
    <t>43</t>
  </si>
  <si>
    <t>Haute-Loire</t>
  </si>
  <si>
    <t>44</t>
  </si>
  <si>
    <t>Loire-Atlantique</t>
  </si>
  <si>
    <t>45</t>
  </si>
  <si>
    <t>Loiret</t>
  </si>
  <si>
    <t>46</t>
  </si>
  <si>
    <t>Lot</t>
  </si>
  <si>
    <t>47</t>
  </si>
  <si>
    <t>Lot-et-Garonne</t>
  </si>
  <si>
    <t>48</t>
  </si>
  <si>
    <t>Lozère</t>
  </si>
  <si>
    <t>49</t>
  </si>
  <si>
    <t>Maine-et-Loire</t>
  </si>
  <si>
    <t>50</t>
  </si>
  <si>
    <t>Manche</t>
  </si>
  <si>
    <t>51</t>
  </si>
  <si>
    <t>Marne</t>
  </si>
  <si>
    <t>52</t>
  </si>
  <si>
    <t>Haute-Marne</t>
  </si>
  <si>
    <t>53</t>
  </si>
  <si>
    <t>Mayenne</t>
  </si>
  <si>
    <t>54</t>
  </si>
  <si>
    <t>Meurthe-et-Moselle</t>
  </si>
  <si>
    <t>55</t>
  </si>
  <si>
    <t>Meuse</t>
  </si>
  <si>
    <t>56</t>
  </si>
  <si>
    <t>Morbihan</t>
  </si>
  <si>
    <t>57</t>
  </si>
  <si>
    <t>Moselle</t>
  </si>
  <si>
    <t>58</t>
  </si>
  <si>
    <t>Nièvre</t>
  </si>
  <si>
    <t>59</t>
  </si>
  <si>
    <t>Nord</t>
  </si>
  <si>
    <t>60</t>
  </si>
  <si>
    <t>Oise</t>
  </si>
  <si>
    <t>61</t>
  </si>
  <si>
    <t>Orne</t>
  </si>
  <si>
    <t>62</t>
  </si>
  <si>
    <t>Pas-de-Calais</t>
  </si>
  <si>
    <t>63</t>
  </si>
  <si>
    <t>Puy-de-Dôme</t>
  </si>
  <si>
    <t>64</t>
  </si>
  <si>
    <t>Pyrénées-Atlantiques</t>
  </si>
  <si>
    <t>65</t>
  </si>
  <si>
    <t>Hautes-Pyrénées</t>
  </si>
  <si>
    <t>66</t>
  </si>
  <si>
    <t>Pyrénées-Orientales</t>
  </si>
  <si>
    <t>67</t>
  </si>
  <si>
    <t>Bas-Rhin</t>
  </si>
  <si>
    <t>68</t>
  </si>
  <si>
    <t>Haut-Rhin</t>
  </si>
  <si>
    <t>69</t>
  </si>
  <si>
    <t>Rhône</t>
  </si>
  <si>
    <t>70</t>
  </si>
  <si>
    <t>Haute-Saône</t>
  </si>
  <si>
    <t>71</t>
  </si>
  <si>
    <t>Saône-et-Loire</t>
  </si>
  <si>
    <t>72</t>
  </si>
  <si>
    <t>Sarthe</t>
  </si>
  <si>
    <t>73</t>
  </si>
  <si>
    <t>Savoie</t>
  </si>
  <si>
    <t>74</t>
  </si>
  <si>
    <t>Haute-Savoie</t>
  </si>
  <si>
    <t>75</t>
  </si>
  <si>
    <t>Paris</t>
  </si>
  <si>
    <t>76</t>
  </si>
  <si>
    <t>Seine-Maritime</t>
  </si>
  <si>
    <t>77</t>
  </si>
  <si>
    <t>Seine-et-Marne</t>
  </si>
  <si>
    <t>78</t>
  </si>
  <si>
    <t>Yvelines</t>
  </si>
  <si>
    <t>79</t>
  </si>
  <si>
    <t>Deux-Sèvres</t>
  </si>
  <si>
    <t>80</t>
  </si>
  <si>
    <t>Somme</t>
  </si>
  <si>
    <t>81</t>
  </si>
  <si>
    <t>Tarn</t>
  </si>
  <si>
    <t>82</t>
  </si>
  <si>
    <t>Tarn-et-Garonne</t>
  </si>
  <si>
    <t>83</t>
  </si>
  <si>
    <t>Var</t>
  </si>
  <si>
    <t>84</t>
  </si>
  <si>
    <t>Vaucluse</t>
  </si>
  <si>
    <t>85</t>
  </si>
  <si>
    <t>Vendée</t>
  </si>
  <si>
    <t>86</t>
  </si>
  <si>
    <t>Vienne</t>
  </si>
  <si>
    <t>87</t>
  </si>
  <si>
    <t>Haute-Vienne</t>
  </si>
  <si>
    <t>88</t>
  </si>
  <si>
    <t>Vosges</t>
  </si>
  <si>
    <t>89</t>
  </si>
  <si>
    <t>Yonne</t>
  </si>
  <si>
    <t>90</t>
  </si>
  <si>
    <t>Territoire de Belfort</t>
  </si>
  <si>
    <t>91</t>
  </si>
  <si>
    <t>Essonne</t>
  </si>
  <si>
    <t>92</t>
  </si>
  <si>
    <t>Hauts-de-Seine</t>
  </si>
  <si>
    <t>93</t>
  </si>
  <si>
    <t>Seine-Saint-Denis</t>
  </si>
  <si>
    <t>94</t>
  </si>
  <si>
    <t>Val-de-Marne</t>
  </si>
  <si>
    <t>95</t>
  </si>
  <si>
    <t>Val-d'Oise</t>
  </si>
  <si>
    <t xml:space="preserve">Guadeloupe </t>
  </si>
  <si>
    <t>N/A</t>
  </si>
  <si>
    <t xml:space="preserve">Martinique </t>
  </si>
  <si>
    <t>Guyane</t>
  </si>
  <si>
    <t>La Réunion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</si>
</sst>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2"/>
      <color rgb="FF000000"/>
      <name val="Tahoma"/>
    </font>
    <font>
      <sz val="11"/>
      <color theme="1"/>
      <name val="Tahoma"/>
    </font>
    <font>
      <sz val="10"/>
      <color theme="1"/>
      <name val="Tahoma"/>
    </font>
  </fonts>
  <fills count="3">
    <fill>
      <patternFill patternType="none"/>
    </fill>
    <fill>
      <patternFill patternType="gray125"/>
    </fill>
    <fill>
      <patternFill patternType="solid">
        <fgColor rgb="FF99CCFF"/>
        <bgColor rgb="FFCCCC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/>
    </xf>
    <xf numFmtId="0" fontId="2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3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readingOrder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O101"/>
  <sheetViews>
    <sheetView tabSelected="1" topLeftCell="F1" workbookViewId="0">
      <selection activeCell="H1" sqref="H1"/>
    </sheetView>
  </sheetViews>
  <sheetFormatPr defaultRowHeight="14.25"/>
  <cols>
    <col min="1" max="1" width="6.7109375" style="2" bestFit="1" customWidth="1"/>
    <col min="2" max="2" width="25.42578125" style="3" bestFit="1" customWidth="1"/>
    <col min="3" max="3" width="12" style="2" customWidth="1"/>
    <col min="4" max="4" width="10.85546875" style="2" bestFit="1" customWidth="1"/>
    <col min="5" max="5" width="10.85546875" style="2" customWidth="1"/>
    <col min="6" max="6" width="11.7109375" style="2" customWidth="1"/>
    <col min="7" max="7" width="14.140625" style="2" customWidth="1"/>
    <col min="8" max="8" width="24.7109375" style="2" customWidth="1"/>
    <col min="9" max="10" width="19.85546875" style="2" customWidth="1"/>
    <col min="11" max="11" width="21.5703125" style="2" customWidth="1"/>
    <col min="12" max="14" width="19.85546875" style="2" customWidth="1"/>
    <col min="15" max="15" width="18.5703125" style="3" customWidth="1"/>
    <col min="16" max="16384" width="9.140625" style="3"/>
  </cols>
  <sheetData>
    <row r="1" spans="1:15" s="1" customFormat="1" ht="63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</row>
    <row r="2" spans="1:15">
      <c r="A2" s="6" t="s">
        <v>15</v>
      </c>
      <c r="B2" s="5" t="s">
        <v>16</v>
      </c>
      <c r="C2" s="6">
        <v>171336</v>
      </c>
      <c r="D2" s="6">
        <v>32113</v>
      </c>
      <c r="E2" s="6">
        <f>D2/5</f>
        <v>6422.6</v>
      </c>
      <c r="F2" s="6">
        <f>C2+E2</f>
        <v>177758.6</v>
      </c>
      <c r="G2" s="6">
        <v>1915</v>
      </c>
      <c r="H2" s="7">
        <f>(G2/F2)*1000</f>
        <v>10.773037141381627</v>
      </c>
      <c r="I2" s="7">
        <v>5.5</v>
      </c>
      <c r="J2" s="7">
        <v>10.8</v>
      </c>
      <c r="K2" s="7">
        <v>11.9782676646405</v>
      </c>
      <c r="L2" s="6">
        <v>730</v>
      </c>
      <c r="M2" s="8">
        <v>50.62</v>
      </c>
      <c r="N2" s="8">
        <v>2.9</v>
      </c>
      <c r="O2" s="8">
        <v>4.3</v>
      </c>
    </row>
    <row r="3" spans="1:15">
      <c r="A3" s="6" t="s">
        <v>17</v>
      </c>
      <c r="B3" s="5" t="s">
        <v>18</v>
      </c>
      <c r="C3" s="6">
        <v>125708</v>
      </c>
      <c r="D3" s="6">
        <v>27152</v>
      </c>
      <c r="E3" s="6">
        <f t="shared" ref="E3:E66" si="0">D3/5</f>
        <v>5430.4</v>
      </c>
      <c r="F3" s="6">
        <f t="shared" ref="F3:F66" si="1">C3+E3</f>
        <v>131138.4</v>
      </c>
      <c r="G3" s="6">
        <v>2484</v>
      </c>
      <c r="H3" s="7">
        <f t="shared" ref="H3:H66" si="2">(G3/F3)*1000</f>
        <v>18.941820244871071</v>
      </c>
      <c r="I3" s="7">
        <v>10.5</v>
      </c>
      <c r="J3" s="7">
        <v>18.8</v>
      </c>
      <c r="K3" s="7">
        <v>5.0565081550316204</v>
      </c>
      <c r="L3" s="6">
        <v>790</v>
      </c>
      <c r="M3" s="8">
        <v>38.33</v>
      </c>
      <c r="N3" s="8">
        <v>5.0999999999999996</v>
      </c>
      <c r="O3" s="8">
        <v>5.7</v>
      </c>
    </row>
    <row r="4" spans="1:15">
      <c r="A4" s="6" t="s">
        <v>19</v>
      </c>
      <c r="B4" s="5" t="s">
        <v>20</v>
      </c>
      <c r="C4" s="6">
        <v>66246</v>
      </c>
      <c r="D4" s="6">
        <v>15740</v>
      </c>
      <c r="E4" s="6">
        <f t="shared" si="0"/>
        <v>3148</v>
      </c>
      <c r="F4" s="6">
        <f t="shared" si="1"/>
        <v>69394</v>
      </c>
      <c r="G4" s="6">
        <v>1152</v>
      </c>
      <c r="H4" s="7">
        <f t="shared" si="2"/>
        <v>16.60085886387872</v>
      </c>
      <c r="I4" s="7">
        <v>7.7</v>
      </c>
      <c r="J4" s="7">
        <v>16.2</v>
      </c>
      <c r="K4" s="7">
        <v>5.4995094091698196</v>
      </c>
      <c r="L4" s="6">
        <v>597</v>
      </c>
      <c r="M4" s="8">
        <v>40.9</v>
      </c>
      <c r="N4" s="8">
        <v>8.3000000000000007</v>
      </c>
      <c r="O4" s="8">
        <v>6.3</v>
      </c>
    </row>
    <row r="5" spans="1:15">
      <c r="A5" s="6" t="s">
        <v>21</v>
      </c>
      <c r="B5" s="5" t="s">
        <v>22</v>
      </c>
      <c r="C5" s="6">
        <v>33920</v>
      </c>
      <c r="D5" s="6">
        <v>6983</v>
      </c>
      <c r="E5" s="6">
        <f t="shared" si="0"/>
        <v>1396.6</v>
      </c>
      <c r="F5" s="6">
        <f t="shared" si="1"/>
        <v>35316.6</v>
      </c>
      <c r="G5" s="6">
        <v>659</v>
      </c>
      <c r="H5" s="7">
        <f t="shared" si="2"/>
        <v>18.659780386560428</v>
      </c>
      <c r="I5" s="7">
        <v>8.1</v>
      </c>
      <c r="J5" s="7">
        <v>17.100000000000001</v>
      </c>
      <c r="K5" s="7">
        <v>8.4423970827697197</v>
      </c>
      <c r="L5" s="6">
        <v>469</v>
      </c>
      <c r="M5" s="8">
        <v>49.27</v>
      </c>
      <c r="N5" s="8">
        <v>9.1999999999999993</v>
      </c>
      <c r="O5" s="8">
        <v>6</v>
      </c>
    </row>
    <row r="6" spans="1:15">
      <c r="A6" s="6" t="s">
        <v>23</v>
      </c>
      <c r="B6" s="5" t="s">
        <v>24</v>
      </c>
      <c r="C6" s="6">
        <v>27874</v>
      </c>
      <c r="D6" s="6">
        <v>5632</v>
      </c>
      <c r="E6" s="6">
        <f t="shared" si="0"/>
        <v>1126.4000000000001</v>
      </c>
      <c r="F6" s="6">
        <f t="shared" si="1"/>
        <v>29000.400000000001</v>
      </c>
      <c r="G6" s="6">
        <v>277</v>
      </c>
      <c r="H6" s="7">
        <f t="shared" si="2"/>
        <v>9.551592391829077</v>
      </c>
      <c r="I6" s="7">
        <v>6.6</v>
      </c>
      <c r="J6" s="7">
        <v>14.7</v>
      </c>
      <c r="K6" s="7">
        <v>5.9630333608908996</v>
      </c>
      <c r="L6" s="6">
        <v>568</v>
      </c>
      <c r="M6" s="8">
        <v>53.14</v>
      </c>
      <c r="N6" s="8">
        <v>6.3</v>
      </c>
      <c r="O6" s="8">
        <v>9</v>
      </c>
    </row>
    <row r="7" spans="1:15">
      <c r="A7" s="6" t="s">
        <v>25</v>
      </c>
      <c r="B7" s="5" t="s">
        <v>26</v>
      </c>
      <c r="C7" s="6">
        <v>232394</v>
      </c>
      <c r="D7" s="6">
        <v>57489</v>
      </c>
      <c r="E7" s="6">
        <f t="shared" si="0"/>
        <v>11497.8</v>
      </c>
      <c r="F7" s="6">
        <f t="shared" si="1"/>
        <v>243891.8</v>
      </c>
      <c r="G7" s="6">
        <v>2172</v>
      </c>
      <c r="H7" s="7">
        <f t="shared" si="2"/>
        <v>8.9055884617687013</v>
      </c>
      <c r="I7" s="7">
        <v>7.1</v>
      </c>
      <c r="J7" s="7">
        <v>16.399999999999999</v>
      </c>
      <c r="K7" s="7">
        <v>15.250695188469599</v>
      </c>
      <c r="L7" s="6">
        <v>574</v>
      </c>
      <c r="M7" s="8">
        <v>54.13</v>
      </c>
      <c r="N7" s="8">
        <v>5.0999999999999996</v>
      </c>
      <c r="O7" s="8">
        <v>3.4</v>
      </c>
    </row>
    <row r="8" spans="1:15">
      <c r="A8" s="6" t="s">
        <v>27</v>
      </c>
      <c r="B8" s="5" t="s">
        <v>28</v>
      </c>
      <c r="C8" s="6">
        <v>71110</v>
      </c>
      <c r="D8" s="6">
        <v>14241</v>
      </c>
      <c r="E8" s="6">
        <f t="shared" si="0"/>
        <v>2848.2</v>
      </c>
      <c r="F8" s="6">
        <f t="shared" si="1"/>
        <v>73958.2</v>
      </c>
      <c r="G8" s="6">
        <v>893</v>
      </c>
      <c r="H8" s="7">
        <f t="shared" si="2"/>
        <v>12.074387965093797</v>
      </c>
      <c r="I8" s="7">
        <v>8</v>
      </c>
      <c r="J8" s="7">
        <v>14.9</v>
      </c>
      <c r="K8" s="7">
        <v>5.55644420500081</v>
      </c>
      <c r="L8" s="6">
        <v>419</v>
      </c>
      <c r="M8" s="8">
        <v>46.47</v>
      </c>
      <c r="N8" s="8">
        <v>5.8</v>
      </c>
      <c r="O8" s="8" t="s">
        <v>29</v>
      </c>
    </row>
    <row r="9" spans="1:15">
      <c r="A9" s="6" t="s">
        <v>30</v>
      </c>
      <c r="B9" s="5" t="s">
        <v>31</v>
      </c>
      <c r="C9" s="6">
        <v>59918</v>
      </c>
      <c r="D9" s="6">
        <v>12749</v>
      </c>
      <c r="E9" s="6">
        <f t="shared" si="0"/>
        <v>2549.8000000000002</v>
      </c>
      <c r="F9" s="6">
        <f t="shared" si="1"/>
        <v>62467.8</v>
      </c>
      <c r="G9" s="6">
        <v>1350</v>
      </c>
      <c r="H9" s="7">
        <f t="shared" si="2"/>
        <v>21.611134056265787</v>
      </c>
      <c r="I9" s="7">
        <v>9.6999999999999993</v>
      </c>
      <c r="J9" s="7">
        <v>19.399999999999999</v>
      </c>
      <c r="K9" s="7">
        <v>5.9370163944507599</v>
      </c>
      <c r="L9" s="6">
        <v>909</v>
      </c>
      <c r="M9" s="8">
        <v>38.85</v>
      </c>
      <c r="N9" s="8">
        <v>13.8</v>
      </c>
      <c r="O9" s="8">
        <v>4.3</v>
      </c>
    </row>
    <row r="10" spans="1:15">
      <c r="A10" s="6" t="s">
        <v>32</v>
      </c>
      <c r="B10" s="5" t="s">
        <v>33</v>
      </c>
      <c r="C10" s="6">
        <v>31329</v>
      </c>
      <c r="D10" s="6">
        <v>6806</v>
      </c>
      <c r="E10" s="6">
        <f t="shared" si="0"/>
        <v>1361.2</v>
      </c>
      <c r="F10" s="6">
        <f t="shared" si="1"/>
        <v>32690.2</v>
      </c>
      <c r="G10" s="6">
        <v>573</v>
      </c>
      <c r="H10" s="7">
        <f t="shared" si="2"/>
        <v>17.528188876176959</v>
      </c>
      <c r="I10" s="7">
        <v>9.4</v>
      </c>
      <c r="J10" s="7">
        <v>19</v>
      </c>
      <c r="K10" s="7">
        <v>8.3717596410212298</v>
      </c>
      <c r="L10" s="6">
        <v>228</v>
      </c>
      <c r="M10" s="8">
        <v>47.3</v>
      </c>
      <c r="N10" s="8">
        <v>17.100000000000001</v>
      </c>
      <c r="O10" s="8">
        <v>6.1</v>
      </c>
    </row>
    <row r="11" spans="1:15">
      <c r="A11" s="6" t="s">
        <v>34</v>
      </c>
      <c r="B11" s="5" t="s">
        <v>35</v>
      </c>
      <c r="C11" s="6">
        <v>75012</v>
      </c>
      <c r="D11" s="6">
        <v>18024</v>
      </c>
      <c r="E11" s="6">
        <f t="shared" si="0"/>
        <v>3604.8</v>
      </c>
      <c r="F11" s="6">
        <f t="shared" si="1"/>
        <v>78616.800000000003</v>
      </c>
      <c r="G11" s="6">
        <v>1241</v>
      </c>
      <c r="H11" s="7">
        <f t="shared" si="2"/>
        <v>15.785430086190228</v>
      </c>
      <c r="I11" s="7">
        <v>9.6</v>
      </c>
      <c r="J11" s="7">
        <v>16.899999999999999</v>
      </c>
      <c r="K11" s="7">
        <v>8.4759496351598091</v>
      </c>
      <c r="L11" s="6">
        <v>1031</v>
      </c>
      <c r="M11" s="8">
        <v>40.729999999999997</v>
      </c>
      <c r="N11" s="8">
        <v>9.8000000000000007</v>
      </c>
      <c r="O11" s="8">
        <v>4.5</v>
      </c>
    </row>
    <row r="12" spans="1:15">
      <c r="A12" s="6" t="s">
        <v>36</v>
      </c>
      <c r="B12" s="5" t="s">
        <v>37</v>
      </c>
      <c r="C12" s="6">
        <v>78118</v>
      </c>
      <c r="D12" s="6">
        <v>16908</v>
      </c>
      <c r="E12" s="6">
        <f t="shared" si="0"/>
        <v>3381.6</v>
      </c>
      <c r="F12" s="6">
        <f t="shared" si="1"/>
        <v>81499.600000000006</v>
      </c>
      <c r="G12" s="6">
        <v>1640</v>
      </c>
      <c r="H12" s="7">
        <f t="shared" si="2"/>
        <v>20.122798148702568</v>
      </c>
      <c r="I12" s="7">
        <v>10.199999999999999</v>
      </c>
      <c r="J12" s="7">
        <v>20.8</v>
      </c>
      <c r="K12" s="7">
        <v>9.1457911711636708</v>
      </c>
      <c r="L12" s="6">
        <v>499</v>
      </c>
      <c r="M12" s="8">
        <v>46.74</v>
      </c>
      <c r="N12" s="8">
        <v>12.5</v>
      </c>
      <c r="O12" s="8">
        <v>5.8</v>
      </c>
    </row>
    <row r="13" spans="1:15">
      <c r="A13" s="6" t="s">
        <v>38</v>
      </c>
      <c r="B13" s="5" t="s">
        <v>39</v>
      </c>
      <c r="C13" s="6">
        <v>54611</v>
      </c>
      <c r="D13" s="6">
        <v>11719</v>
      </c>
      <c r="E13" s="6">
        <f t="shared" si="0"/>
        <v>2343.8000000000002</v>
      </c>
      <c r="F13" s="6">
        <f t="shared" si="1"/>
        <v>56954.8</v>
      </c>
      <c r="G13" s="6">
        <v>773</v>
      </c>
      <c r="H13" s="7">
        <f t="shared" si="2"/>
        <v>13.572165998300406</v>
      </c>
      <c r="I13" s="7">
        <v>5.7</v>
      </c>
      <c r="J13" s="7">
        <v>14.5</v>
      </c>
      <c r="K13" s="7">
        <v>5.6915534776880197</v>
      </c>
      <c r="L13" s="6">
        <v>309</v>
      </c>
      <c r="M13" s="8">
        <v>47.76</v>
      </c>
      <c r="N13" s="8">
        <v>9.8000000000000007</v>
      </c>
      <c r="O13" s="8">
        <v>7.5</v>
      </c>
    </row>
    <row r="14" spans="1:15">
      <c r="A14" s="6" t="s">
        <v>40</v>
      </c>
      <c r="B14" s="5" t="s">
        <v>41</v>
      </c>
      <c r="C14" s="6">
        <v>471361</v>
      </c>
      <c r="D14" s="6">
        <v>122141</v>
      </c>
      <c r="E14" s="6">
        <f t="shared" si="0"/>
        <v>24428.2</v>
      </c>
      <c r="F14" s="6">
        <f t="shared" si="1"/>
        <v>495789.2</v>
      </c>
      <c r="G14" s="6">
        <v>5892</v>
      </c>
      <c r="H14" s="7">
        <f t="shared" si="2"/>
        <v>11.884082993336685</v>
      </c>
      <c r="I14" s="7">
        <v>8.6</v>
      </c>
      <c r="J14" s="7">
        <v>18.5</v>
      </c>
      <c r="K14" s="7">
        <v>11.5992323609303</v>
      </c>
      <c r="L14" s="6">
        <v>806</v>
      </c>
      <c r="M14" s="8">
        <v>53.66</v>
      </c>
      <c r="N14" s="8">
        <v>8.1</v>
      </c>
      <c r="O14" s="8">
        <v>3.2</v>
      </c>
    </row>
    <row r="15" spans="1:15">
      <c r="A15" s="6" t="s">
        <v>42</v>
      </c>
      <c r="B15" s="5" t="s">
        <v>43</v>
      </c>
      <c r="C15" s="6">
        <v>158802</v>
      </c>
      <c r="D15" s="6">
        <v>44006</v>
      </c>
      <c r="E15" s="6">
        <f t="shared" si="0"/>
        <v>8801.2000000000007</v>
      </c>
      <c r="F15" s="6">
        <f t="shared" si="1"/>
        <v>167603.20000000001</v>
      </c>
      <c r="G15" s="6">
        <v>3204</v>
      </c>
      <c r="H15" s="7">
        <f t="shared" si="2"/>
        <v>19.116580113028867</v>
      </c>
      <c r="I15" s="7">
        <v>6.4</v>
      </c>
      <c r="J15" s="7">
        <v>12.5</v>
      </c>
      <c r="K15" s="7">
        <v>4.19333650436357</v>
      </c>
      <c r="L15" s="6">
        <v>858</v>
      </c>
      <c r="M15" s="8">
        <v>47.08</v>
      </c>
      <c r="N15" s="8">
        <v>8.1999999999999993</v>
      </c>
      <c r="O15" s="8">
        <v>3.8</v>
      </c>
    </row>
    <row r="16" spans="1:15">
      <c r="A16" s="6" t="s">
        <v>44</v>
      </c>
      <c r="B16" s="5" t="s">
        <v>45</v>
      </c>
      <c r="C16" s="6">
        <v>26501</v>
      </c>
      <c r="D16" s="6">
        <v>5966</v>
      </c>
      <c r="E16" s="6">
        <f t="shared" si="0"/>
        <v>1193.2</v>
      </c>
      <c r="F16" s="6">
        <f t="shared" si="1"/>
        <v>27694.2</v>
      </c>
      <c r="G16" s="6">
        <v>466</v>
      </c>
      <c r="H16" s="7">
        <f t="shared" si="2"/>
        <v>16.826627958200632</v>
      </c>
      <c r="I16" s="7">
        <v>4.2</v>
      </c>
      <c r="J16" s="7">
        <v>14.2</v>
      </c>
      <c r="K16" s="7">
        <v>2.7656830011868401</v>
      </c>
      <c r="L16" s="6">
        <v>425</v>
      </c>
      <c r="M16" s="8">
        <v>42.46</v>
      </c>
      <c r="N16" s="8">
        <v>4.7</v>
      </c>
      <c r="O16" s="8">
        <v>15.7</v>
      </c>
    </row>
    <row r="17" spans="1:15">
      <c r="A17" s="6" t="s">
        <v>46</v>
      </c>
      <c r="B17" s="5" t="s">
        <v>47</v>
      </c>
      <c r="C17" s="6">
        <v>71734</v>
      </c>
      <c r="D17" s="6">
        <v>16738</v>
      </c>
      <c r="E17" s="6">
        <f t="shared" si="0"/>
        <v>3347.6</v>
      </c>
      <c r="F17" s="6">
        <f t="shared" si="1"/>
        <v>75081.600000000006</v>
      </c>
      <c r="G17" s="6">
        <v>1462</v>
      </c>
      <c r="H17" s="7">
        <f t="shared" si="2"/>
        <v>19.472147636704598</v>
      </c>
      <c r="I17" s="7">
        <v>6.9</v>
      </c>
      <c r="J17" s="7">
        <v>15.1</v>
      </c>
      <c r="K17" s="7">
        <v>6.2463063283047902</v>
      </c>
      <c r="L17" s="6">
        <v>472</v>
      </c>
      <c r="M17" s="8">
        <v>43.82</v>
      </c>
      <c r="N17" s="8">
        <v>41.2</v>
      </c>
      <c r="O17" s="8">
        <v>4.4000000000000004</v>
      </c>
    </row>
    <row r="18" spans="1:15">
      <c r="A18" s="6" t="s">
        <v>48</v>
      </c>
      <c r="B18" s="5" t="s">
        <v>49</v>
      </c>
      <c r="C18" s="6">
        <v>129819</v>
      </c>
      <c r="D18" s="6">
        <v>31609</v>
      </c>
      <c r="E18" s="6">
        <f t="shared" si="0"/>
        <v>6321.8</v>
      </c>
      <c r="F18" s="6">
        <f t="shared" si="1"/>
        <v>136140.79999999999</v>
      </c>
      <c r="G18" s="6">
        <v>2410</v>
      </c>
      <c r="H18" s="7">
        <f t="shared" si="2"/>
        <v>17.702261188416699</v>
      </c>
      <c r="I18" s="7">
        <v>6.8</v>
      </c>
      <c r="J18" s="7">
        <v>12.5</v>
      </c>
      <c r="K18" s="7">
        <v>3.8400167156882001</v>
      </c>
      <c r="L18" s="6">
        <v>467</v>
      </c>
      <c r="M18" s="8">
        <v>46.12</v>
      </c>
      <c r="N18" s="8">
        <v>6.5</v>
      </c>
      <c r="O18" s="8">
        <v>5</v>
      </c>
    </row>
    <row r="19" spans="1:15">
      <c r="A19" s="6" t="s">
        <v>50</v>
      </c>
      <c r="B19" s="5" t="s">
        <v>51</v>
      </c>
      <c r="C19" s="6">
        <v>61957</v>
      </c>
      <c r="D19" s="6">
        <v>13691</v>
      </c>
      <c r="E19" s="6">
        <f t="shared" si="0"/>
        <v>2738.2</v>
      </c>
      <c r="F19" s="6">
        <f t="shared" si="1"/>
        <v>64695.199999999997</v>
      </c>
      <c r="G19" s="6">
        <v>1318</v>
      </c>
      <c r="H19" s="7">
        <f t="shared" si="2"/>
        <v>20.372454216077855</v>
      </c>
      <c r="I19" s="7">
        <v>7.2</v>
      </c>
      <c r="J19" s="7">
        <v>14.7</v>
      </c>
      <c r="K19" s="7">
        <v>5.9845526210482802</v>
      </c>
      <c r="L19" s="6">
        <v>697</v>
      </c>
      <c r="M19" s="8">
        <v>41.69</v>
      </c>
      <c r="N19" s="8">
        <v>6.2</v>
      </c>
      <c r="O19" s="8">
        <v>6</v>
      </c>
    </row>
    <row r="20" spans="1:15">
      <c r="A20" s="6" t="s">
        <v>52</v>
      </c>
      <c r="B20" s="5" t="s">
        <v>53</v>
      </c>
      <c r="C20" s="6">
        <v>45944</v>
      </c>
      <c r="D20" s="6">
        <v>11108</v>
      </c>
      <c r="E20" s="6">
        <f t="shared" si="0"/>
        <v>2221.6</v>
      </c>
      <c r="F20" s="6">
        <f t="shared" si="1"/>
        <v>48165.599999999999</v>
      </c>
      <c r="G20" s="6">
        <v>778</v>
      </c>
      <c r="H20" s="7">
        <f t="shared" si="2"/>
        <v>16.152606839736244</v>
      </c>
      <c r="I20" s="7">
        <v>5.9</v>
      </c>
      <c r="J20" s="7">
        <v>13.7</v>
      </c>
      <c r="K20" s="7">
        <v>6.2829410027976396</v>
      </c>
      <c r="L20" s="6">
        <v>412</v>
      </c>
      <c r="M20" s="8">
        <v>45.73</v>
      </c>
      <c r="N20" s="8">
        <v>7.5</v>
      </c>
      <c r="O20" s="8">
        <v>11.1</v>
      </c>
    </row>
    <row r="21" spans="1:15">
      <c r="A21" s="6" t="s">
        <v>54</v>
      </c>
      <c r="B21" s="5" t="s">
        <v>55</v>
      </c>
      <c r="C21" s="6">
        <v>34272</v>
      </c>
      <c r="D21" s="6">
        <v>6371</v>
      </c>
      <c r="E21" s="6">
        <f t="shared" si="0"/>
        <v>1274.2</v>
      </c>
      <c r="F21" s="6">
        <f t="shared" si="1"/>
        <v>35546.199999999997</v>
      </c>
      <c r="G21" s="6">
        <v>246.5</v>
      </c>
      <c r="H21" s="7">
        <f t="shared" si="2"/>
        <v>6.9346371764070431</v>
      </c>
      <c r="I21" s="7">
        <v>6</v>
      </c>
      <c r="J21" s="7">
        <v>11.8</v>
      </c>
      <c r="K21" s="7">
        <v>7.6535626648786801</v>
      </c>
      <c r="L21" s="6">
        <v>409</v>
      </c>
      <c r="M21" s="8">
        <v>51.38</v>
      </c>
      <c r="N21" s="8">
        <v>0.7</v>
      </c>
      <c r="O21" s="8">
        <v>2.1</v>
      </c>
    </row>
    <row r="22" spans="1:15">
      <c r="A22" s="6" t="s">
        <v>56</v>
      </c>
      <c r="B22" s="5" t="s">
        <v>57</v>
      </c>
      <c r="C22" s="6">
        <v>36610</v>
      </c>
      <c r="D22" s="6">
        <v>10611</v>
      </c>
      <c r="E22" s="6">
        <f t="shared" si="0"/>
        <v>2122.1999999999998</v>
      </c>
      <c r="F22" s="6">
        <f t="shared" si="1"/>
        <v>38732.199999999997</v>
      </c>
      <c r="G22" s="6">
        <v>246.5</v>
      </c>
      <c r="H22" s="7">
        <f t="shared" si="2"/>
        <v>6.3642137549635702</v>
      </c>
      <c r="I22" s="7">
        <v>6.8</v>
      </c>
      <c r="J22" s="7">
        <v>11.8</v>
      </c>
      <c r="K22" s="7">
        <v>3.8333229738787402</v>
      </c>
      <c r="L22" s="6">
        <v>488</v>
      </c>
      <c r="M22" s="8">
        <v>48.18</v>
      </c>
      <c r="N22" s="8">
        <v>3.2</v>
      </c>
      <c r="O22" s="8">
        <v>1.6</v>
      </c>
    </row>
    <row r="23" spans="1:15">
      <c r="A23" s="6" t="s">
        <v>58</v>
      </c>
      <c r="B23" s="5" t="s">
        <v>59</v>
      </c>
      <c r="C23" s="6">
        <v>117337</v>
      </c>
      <c r="D23" s="6">
        <v>36122</v>
      </c>
      <c r="E23" s="6">
        <f t="shared" si="0"/>
        <v>7224.4</v>
      </c>
      <c r="F23" s="6">
        <f t="shared" si="1"/>
        <v>124561.4</v>
      </c>
      <c r="G23" s="6">
        <v>1604</v>
      </c>
      <c r="H23" s="7">
        <f t="shared" si="2"/>
        <v>12.877183461329112</v>
      </c>
      <c r="I23" s="7">
        <v>5.7</v>
      </c>
      <c r="J23" s="7">
        <v>19.2</v>
      </c>
      <c r="K23" s="7">
        <v>5.5711766737939197</v>
      </c>
      <c r="L23" s="6">
        <v>706</v>
      </c>
      <c r="M23" s="8">
        <v>40.82</v>
      </c>
      <c r="N23" s="8">
        <v>6.3</v>
      </c>
      <c r="O23" s="8">
        <v>4.9000000000000004</v>
      </c>
    </row>
    <row r="24" spans="1:15">
      <c r="A24" s="6" t="s">
        <v>60</v>
      </c>
      <c r="B24" s="5" t="s">
        <v>61</v>
      </c>
      <c r="C24" s="6">
        <v>131727</v>
      </c>
      <c r="D24" s="6">
        <v>27427</v>
      </c>
      <c r="E24" s="6">
        <f t="shared" si="0"/>
        <v>5485.4</v>
      </c>
      <c r="F24" s="6">
        <f t="shared" si="1"/>
        <v>137212.4</v>
      </c>
      <c r="G24" s="6">
        <v>2044</v>
      </c>
      <c r="H24" s="7">
        <f t="shared" si="2"/>
        <v>14.896612842571081</v>
      </c>
      <c r="I24" s="7">
        <v>6.3</v>
      </c>
      <c r="J24" s="7">
        <v>16.600000000000001</v>
      </c>
      <c r="K24" s="7">
        <v>6.8991298364936</v>
      </c>
      <c r="L24" s="6">
        <v>397</v>
      </c>
      <c r="M24" s="8">
        <v>43.18</v>
      </c>
      <c r="N24" s="8">
        <v>7.3</v>
      </c>
      <c r="O24" s="8">
        <v>5.6</v>
      </c>
    </row>
    <row r="25" spans="1:15">
      <c r="A25" s="6" t="s">
        <v>62</v>
      </c>
      <c r="B25" s="5" t="s">
        <v>63</v>
      </c>
      <c r="C25" s="6">
        <v>20409</v>
      </c>
      <c r="D25" s="6">
        <v>4513</v>
      </c>
      <c r="E25" s="6">
        <f t="shared" si="0"/>
        <v>902.6</v>
      </c>
      <c r="F25" s="6">
        <f t="shared" si="1"/>
        <v>21311.599999999999</v>
      </c>
      <c r="G25" s="6">
        <v>442</v>
      </c>
      <c r="H25" s="7">
        <f t="shared" si="2"/>
        <v>20.73987875147807</v>
      </c>
      <c r="I25" s="7">
        <v>7</v>
      </c>
      <c r="J25" s="7">
        <v>13.1</v>
      </c>
      <c r="K25" s="7">
        <v>8.8207007902714807</v>
      </c>
      <c r="L25" s="6">
        <v>471</v>
      </c>
      <c r="M25" s="8">
        <v>48.51</v>
      </c>
      <c r="N25" s="8">
        <v>8.9</v>
      </c>
      <c r="O25" s="8">
        <v>11.4</v>
      </c>
    </row>
    <row r="26" spans="1:15">
      <c r="A26" s="6" t="s">
        <v>64</v>
      </c>
      <c r="B26" s="5" t="s">
        <v>65</v>
      </c>
      <c r="C26" s="6">
        <v>76010</v>
      </c>
      <c r="D26" s="6">
        <v>16698</v>
      </c>
      <c r="E26" s="6">
        <f t="shared" si="0"/>
        <v>3339.6</v>
      </c>
      <c r="F26" s="6">
        <f t="shared" si="1"/>
        <v>79349.600000000006</v>
      </c>
      <c r="G26" s="6">
        <v>1865</v>
      </c>
      <c r="H26" s="7">
        <f t="shared" si="2"/>
        <v>23.503584139050478</v>
      </c>
      <c r="I26" s="7">
        <v>7.1</v>
      </c>
      <c r="J26" s="7">
        <v>14.8</v>
      </c>
      <c r="K26" s="7">
        <v>7.9837828991717199</v>
      </c>
      <c r="L26" s="6">
        <v>353</v>
      </c>
      <c r="M26" s="8">
        <v>49.95</v>
      </c>
      <c r="N26" s="8">
        <v>9.1999999999999993</v>
      </c>
      <c r="O26" s="8">
        <v>7.6</v>
      </c>
    </row>
    <row r="27" spans="1:15">
      <c r="A27" s="6" t="s">
        <v>66</v>
      </c>
      <c r="B27" s="5" t="s">
        <v>67</v>
      </c>
      <c r="C27" s="6">
        <v>134303</v>
      </c>
      <c r="D27" s="6">
        <v>34184</v>
      </c>
      <c r="E27" s="6">
        <f t="shared" si="0"/>
        <v>6836.8</v>
      </c>
      <c r="F27" s="6">
        <f t="shared" si="1"/>
        <v>141139.79999999999</v>
      </c>
      <c r="G27" s="6">
        <v>1914</v>
      </c>
      <c r="H27" s="7">
        <f t="shared" si="2"/>
        <v>13.561022475588034</v>
      </c>
      <c r="I27" s="7">
        <v>6.6</v>
      </c>
      <c r="J27" s="7">
        <v>12.7</v>
      </c>
      <c r="K27" s="7">
        <v>5.4858084210769604</v>
      </c>
      <c r="L27" s="6">
        <v>660</v>
      </c>
      <c r="M27" s="8">
        <v>43.04</v>
      </c>
      <c r="N27" s="8">
        <v>5</v>
      </c>
      <c r="O27" s="8">
        <v>5.2</v>
      </c>
    </row>
    <row r="28" spans="1:15">
      <c r="A28" s="6" t="s">
        <v>68</v>
      </c>
      <c r="B28" s="5" t="s">
        <v>69</v>
      </c>
      <c r="C28" s="6">
        <v>120702</v>
      </c>
      <c r="D28" s="6">
        <v>24833</v>
      </c>
      <c r="E28" s="6">
        <f t="shared" si="0"/>
        <v>4966.6000000000004</v>
      </c>
      <c r="F28" s="6">
        <f t="shared" si="1"/>
        <v>125668.6</v>
      </c>
      <c r="G28" s="6">
        <v>1819</v>
      </c>
      <c r="H28" s="7">
        <f t="shared" si="2"/>
        <v>14.4745783751868</v>
      </c>
      <c r="I28" s="7">
        <v>8</v>
      </c>
      <c r="J28" s="7">
        <v>12.1</v>
      </c>
      <c r="K28" s="7">
        <v>7.9696668271113298</v>
      </c>
      <c r="L28" s="6">
        <v>582</v>
      </c>
      <c r="M28" s="8">
        <v>43.47</v>
      </c>
      <c r="N28" s="8">
        <v>27.4</v>
      </c>
      <c r="O28" s="8">
        <v>6.7</v>
      </c>
    </row>
    <row r="29" spans="1:15">
      <c r="A29" s="6" t="s">
        <v>70</v>
      </c>
      <c r="B29" s="5" t="s">
        <v>71</v>
      </c>
      <c r="C29" s="6">
        <v>147694</v>
      </c>
      <c r="D29" s="6">
        <v>29075</v>
      </c>
      <c r="E29" s="6">
        <f t="shared" si="0"/>
        <v>5815</v>
      </c>
      <c r="F29" s="6">
        <f t="shared" si="1"/>
        <v>153509</v>
      </c>
      <c r="G29" s="6">
        <v>2280</v>
      </c>
      <c r="H29" s="7">
        <f t="shared" si="2"/>
        <v>14.852549361926663</v>
      </c>
      <c r="I29" s="7">
        <v>7</v>
      </c>
      <c r="J29" s="7">
        <v>10.8</v>
      </c>
      <c r="K29" s="7">
        <v>3.5554440582245799</v>
      </c>
      <c r="L29" s="6">
        <v>702</v>
      </c>
      <c r="M29" s="8">
        <v>53.81</v>
      </c>
      <c r="N29" s="8">
        <v>6.5</v>
      </c>
      <c r="O29" s="8">
        <v>5.0999999999999996</v>
      </c>
    </row>
    <row r="30" spans="1:15">
      <c r="A30" s="6" t="s">
        <v>72</v>
      </c>
      <c r="B30" s="5" t="s">
        <v>73</v>
      </c>
      <c r="C30" s="6">
        <v>105999</v>
      </c>
      <c r="D30" s="6">
        <v>20850</v>
      </c>
      <c r="E30" s="6">
        <f t="shared" si="0"/>
        <v>4170</v>
      </c>
      <c r="F30" s="6">
        <f t="shared" si="1"/>
        <v>110169</v>
      </c>
      <c r="G30" s="6">
        <v>1236</v>
      </c>
      <c r="H30" s="7">
        <f t="shared" si="2"/>
        <v>11.219126977643439</v>
      </c>
      <c r="I30" s="7">
        <v>6.8</v>
      </c>
      <c r="J30" s="7">
        <v>15.8</v>
      </c>
      <c r="K30" s="7">
        <v>8.9504865709975192</v>
      </c>
      <c r="L30" s="6">
        <v>761</v>
      </c>
      <c r="M30" s="8">
        <v>53.18</v>
      </c>
      <c r="N30" s="8">
        <v>9.4</v>
      </c>
      <c r="O30" s="8">
        <v>5.7</v>
      </c>
    </row>
    <row r="31" spans="1:15">
      <c r="A31" s="6" t="s">
        <v>74</v>
      </c>
      <c r="B31" s="5" t="s">
        <v>75</v>
      </c>
      <c r="C31" s="6">
        <v>197584</v>
      </c>
      <c r="D31" s="6">
        <v>49611</v>
      </c>
      <c r="E31" s="6">
        <f t="shared" si="0"/>
        <v>9922.2000000000007</v>
      </c>
      <c r="F31" s="6">
        <f t="shared" si="1"/>
        <v>207506.2</v>
      </c>
      <c r="G31" s="6">
        <v>3268</v>
      </c>
      <c r="H31" s="7">
        <f t="shared" si="2"/>
        <v>15.748927020011932</v>
      </c>
      <c r="I31" s="7">
        <v>6.2</v>
      </c>
      <c r="J31" s="7">
        <v>20.2</v>
      </c>
      <c r="K31" s="7">
        <v>10.1934817976414</v>
      </c>
      <c r="L31" s="6">
        <v>549</v>
      </c>
      <c r="M31" s="8">
        <v>49.14</v>
      </c>
      <c r="N31" s="8">
        <v>7.1</v>
      </c>
      <c r="O31" s="8">
        <v>5.4</v>
      </c>
    </row>
    <row r="32" spans="1:15">
      <c r="A32" s="6" t="s">
        <v>76</v>
      </c>
      <c r="B32" s="5" t="s">
        <v>77</v>
      </c>
      <c r="C32" s="6">
        <v>170325</v>
      </c>
      <c r="D32" s="6">
        <v>39372</v>
      </c>
      <c r="E32" s="6">
        <f t="shared" si="0"/>
        <v>7874.4</v>
      </c>
      <c r="F32" s="6">
        <f t="shared" si="1"/>
        <v>178199.4</v>
      </c>
      <c r="G32" s="6">
        <v>2752</v>
      </c>
      <c r="H32" s="7">
        <f t="shared" si="2"/>
        <v>15.443374107881397</v>
      </c>
      <c r="I32" s="7">
        <v>10</v>
      </c>
      <c r="J32" s="7">
        <v>20</v>
      </c>
      <c r="K32" s="7">
        <v>8.8566413255993997</v>
      </c>
      <c r="L32" s="6">
        <v>566</v>
      </c>
      <c r="M32" s="8">
        <v>48.11</v>
      </c>
      <c r="N32" s="8">
        <v>10.1</v>
      </c>
      <c r="O32" s="8">
        <v>2.9</v>
      </c>
    </row>
    <row r="33" spans="1:15">
      <c r="A33" s="6" t="s">
        <v>78</v>
      </c>
      <c r="B33" s="5" t="s">
        <v>79</v>
      </c>
      <c r="C33" s="6">
        <v>344084</v>
      </c>
      <c r="D33" s="6">
        <v>106226</v>
      </c>
      <c r="E33" s="6">
        <f t="shared" si="0"/>
        <v>21245.200000000001</v>
      </c>
      <c r="F33" s="6">
        <f t="shared" si="1"/>
        <v>365329.2</v>
      </c>
      <c r="G33" s="6">
        <v>4632</v>
      </c>
      <c r="H33" s="7">
        <f t="shared" si="2"/>
        <v>12.678975565052012</v>
      </c>
      <c r="I33" s="7">
        <v>7.3</v>
      </c>
      <c r="J33" s="7">
        <v>14.3</v>
      </c>
      <c r="K33" s="7">
        <v>10.896434113371001</v>
      </c>
      <c r="L33" s="6">
        <v>701</v>
      </c>
      <c r="M33" s="8">
        <v>63.05</v>
      </c>
      <c r="N33" s="8">
        <v>5.8</v>
      </c>
      <c r="O33" s="8">
        <v>3.4</v>
      </c>
    </row>
    <row r="34" spans="1:15">
      <c r="A34" s="6" t="s">
        <v>80</v>
      </c>
      <c r="B34" s="5" t="s">
        <v>81</v>
      </c>
      <c r="C34" s="6">
        <v>37689</v>
      </c>
      <c r="D34" s="6">
        <v>8031</v>
      </c>
      <c r="E34" s="6">
        <f t="shared" si="0"/>
        <v>1606.2</v>
      </c>
      <c r="F34" s="6">
        <f t="shared" si="1"/>
        <v>39295.199999999997</v>
      </c>
      <c r="G34" s="6">
        <v>851</v>
      </c>
      <c r="H34" s="7">
        <f t="shared" si="2"/>
        <v>21.656589099940962</v>
      </c>
      <c r="I34" s="7">
        <v>5.6</v>
      </c>
      <c r="J34" s="7">
        <v>15.3</v>
      </c>
      <c r="K34" s="7">
        <v>7.6910423102187799</v>
      </c>
      <c r="L34" s="6">
        <v>303</v>
      </c>
      <c r="M34" s="8">
        <v>47.54</v>
      </c>
      <c r="N34" s="8">
        <v>11.3</v>
      </c>
      <c r="O34" s="8">
        <v>8.5</v>
      </c>
    </row>
    <row r="35" spans="1:15">
      <c r="A35" s="6" t="s">
        <v>82</v>
      </c>
      <c r="B35" s="5" t="s">
        <v>83</v>
      </c>
      <c r="C35" s="6">
        <v>383760</v>
      </c>
      <c r="D35" s="6">
        <v>107780</v>
      </c>
      <c r="E35" s="6">
        <f t="shared" si="0"/>
        <v>21556</v>
      </c>
      <c r="F35" s="6">
        <f t="shared" si="1"/>
        <v>405316</v>
      </c>
      <c r="G35" s="6">
        <v>5322</v>
      </c>
      <c r="H35" s="7">
        <f t="shared" si="2"/>
        <v>13.130495711987683</v>
      </c>
      <c r="I35" s="7">
        <v>6.5</v>
      </c>
      <c r="J35" s="7">
        <v>12.8</v>
      </c>
      <c r="K35" s="7">
        <v>7.9965407942792401</v>
      </c>
      <c r="L35" s="6">
        <v>673</v>
      </c>
      <c r="M35" s="8">
        <v>55.72</v>
      </c>
      <c r="N35" s="8">
        <v>8.8000000000000007</v>
      </c>
      <c r="O35" s="8">
        <v>2.9</v>
      </c>
    </row>
    <row r="36" spans="1:15">
      <c r="A36" s="6" t="s">
        <v>84</v>
      </c>
      <c r="B36" s="5" t="s">
        <v>85</v>
      </c>
      <c r="C36" s="6">
        <v>274751</v>
      </c>
      <c r="D36" s="6">
        <v>78458</v>
      </c>
      <c r="E36" s="6">
        <f t="shared" si="0"/>
        <v>15691.6</v>
      </c>
      <c r="F36" s="6">
        <f t="shared" si="1"/>
        <v>290442.59999999998</v>
      </c>
      <c r="G36" s="6">
        <v>3633</v>
      </c>
      <c r="H36" s="7">
        <f t="shared" si="2"/>
        <v>12.508495654563072</v>
      </c>
      <c r="I36" s="7">
        <v>10.199999999999999</v>
      </c>
      <c r="J36" s="7">
        <v>19.399999999999999</v>
      </c>
      <c r="K36" s="7">
        <v>10.6215595387807</v>
      </c>
      <c r="L36" s="6">
        <v>596</v>
      </c>
      <c r="M36" s="8">
        <v>54.93</v>
      </c>
      <c r="N36" s="8">
        <v>6.9</v>
      </c>
      <c r="O36" s="8">
        <v>3.4</v>
      </c>
    </row>
    <row r="37" spans="1:15">
      <c r="A37" s="6" t="s">
        <v>86</v>
      </c>
      <c r="B37" s="5" t="s">
        <v>87</v>
      </c>
      <c r="C37" s="6">
        <v>276145</v>
      </c>
      <c r="D37" s="6">
        <v>75527</v>
      </c>
      <c r="E37" s="6">
        <f t="shared" si="0"/>
        <v>15105.4</v>
      </c>
      <c r="F37" s="6">
        <f t="shared" si="1"/>
        <v>291250.40000000002</v>
      </c>
      <c r="G37" s="6">
        <v>4179</v>
      </c>
      <c r="H37" s="7">
        <f t="shared" si="2"/>
        <v>14.348478148012843</v>
      </c>
      <c r="I37" s="7">
        <v>5.6</v>
      </c>
      <c r="J37" s="7">
        <v>10.8</v>
      </c>
      <c r="K37" s="7">
        <v>5.3011986591528002</v>
      </c>
      <c r="L37" s="6">
        <v>696</v>
      </c>
      <c r="M37" s="8">
        <v>55.89</v>
      </c>
      <c r="N37" s="8">
        <v>5.8</v>
      </c>
      <c r="O37" s="8">
        <v>4.0999999999999996</v>
      </c>
    </row>
    <row r="38" spans="1:15">
      <c r="A38" s="6" t="s">
        <v>88</v>
      </c>
      <c r="B38" s="5" t="s">
        <v>89</v>
      </c>
      <c r="C38" s="6">
        <v>41335</v>
      </c>
      <c r="D38" s="6">
        <v>9177</v>
      </c>
      <c r="E38" s="6">
        <f t="shared" si="0"/>
        <v>1835.4</v>
      </c>
      <c r="F38" s="6">
        <f t="shared" si="1"/>
        <v>43170.400000000001</v>
      </c>
      <c r="G38" s="6">
        <v>704</v>
      </c>
      <c r="H38" s="7">
        <f t="shared" si="2"/>
        <v>16.307469933102308</v>
      </c>
      <c r="I38" s="7">
        <v>7</v>
      </c>
      <c r="J38" s="7">
        <v>15.4</v>
      </c>
      <c r="K38" s="7">
        <v>5.0878259560990404</v>
      </c>
      <c r="L38" s="6">
        <v>808</v>
      </c>
      <c r="M38" s="8">
        <v>37.909999999999997</v>
      </c>
      <c r="N38" s="8">
        <v>3.7</v>
      </c>
      <c r="O38" s="8">
        <v>6.5</v>
      </c>
    </row>
    <row r="39" spans="1:15">
      <c r="A39" s="6" t="s">
        <v>90</v>
      </c>
      <c r="B39" s="5" t="s">
        <v>91</v>
      </c>
      <c r="C39" s="6">
        <v>137275</v>
      </c>
      <c r="D39" s="6">
        <v>37841</v>
      </c>
      <c r="E39" s="6">
        <f t="shared" si="0"/>
        <v>7568.2</v>
      </c>
      <c r="F39" s="6">
        <f t="shared" si="1"/>
        <v>144843.20000000001</v>
      </c>
      <c r="G39" s="6">
        <v>1914</v>
      </c>
      <c r="H39" s="7">
        <f t="shared" si="2"/>
        <v>13.214289659438618</v>
      </c>
      <c r="I39" s="7">
        <v>6.6</v>
      </c>
      <c r="J39" s="7">
        <v>12.8</v>
      </c>
      <c r="K39" s="7">
        <v>6.7423927258872203</v>
      </c>
      <c r="L39" s="6">
        <v>858</v>
      </c>
      <c r="M39" s="8">
        <v>50.73</v>
      </c>
      <c r="N39" s="8">
        <v>8.4</v>
      </c>
      <c r="O39" s="8">
        <v>4.3</v>
      </c>
    </row>
    <row r="40" spans="1:15">
      <c r="A40" s="6" t="s">
        <v>92</v>
      </c>
      <c r="B40" s="5" t="s">
        <v>93</v>
      </c>
      <c r="C40" s="6">
        <v>322392</v>
      </c>
      <c r="D40" s="6">
        <v>78611</v>
      </c>
      <c r="E40" s="6">
        <f t="shared" si="0"/>
        <v>15722.2</v>
      </c>
      <c r="F40" s="6">
        <f t="shared" si="1"/>
        <v>338114.2</v>
      </c>
      <c r="G40" s="6">
        <v>3242</v>
      </c>
      <c r="H40" s="7">
        <f t="shared" si="2"/>
        <v>9.5884763195393745</v>
      </c>
      <c r="I40" s="7">
        <v>5.9</v>
      </c>
      <c r="J40" s="7">
        <v>11.8</v>
      </c>
      <c r="K40" s="7">
        <v>10.050454717389499</v>
      </c>
      <c r="L40" s="6">
        <v>725</v>
      </c>
      <c r="M40" s="8">
        <v>54.33</v>
      </c>
      <c r="N40" s="8">
        <v>3.9</v>
      </c>
      <c r="O40" s="8">
        <v>3.8</v>
      </c>
    </row>
    <row r="41" spans="1:15">
      <c r="A41" s="6" t="s">
        <v>94</v>
      </c>
      <c r="B41" s="5" t="s">
        <v>95</v>
      </c>
      <c r="C41" s="6">
        <v>56255</v>
      </c>
      <c r="D41" s="6">
        <v>11909</v>
      </c>
      <c r="E41" s="6">
        <f t="shared" si="0"/>
        <v>2381.8000000000002</v>
      </c>
      <c r="F41" s="6">
        <f t="shared" si="1"/>
        <v>58636.800000000003</v>
      </c>
      <c r="G41" s="6">
        <v>948</v>
      </c>
      <c r="H41" s="7">
        <f t="shared" si="2"/>
        <v>16.167321545514081</v>
      </c>
      <c r="I41" s="7">
        <v>5.2</v>
      </c>
      <c r="J41" s="7">
        <v>11.8</v>
      </c>
      <c r="K41" s="7">
        <v>6.1490872220498503</v>
      </c>
      <c r="L41" s="6">
        <v>540</v>
      </c>
      <c r="M41" s="8">
        <v>44.87</v>
      </c>
      <c r="N41" s="8">
        <v>6.1</v>
      </c>
      <c r="O41" s="8">
        <v>7.1</v>
      </c>
    </row>
    <row r="42" spans="1:15">
      <c r="A42" s="6" t="s">
        <v>96</v>
      </c>
      <c r="B42" s="5" t="s">
        <v>97</v>
      </c>
      <c r="C42" s="6">
        <v>88370</v>
      </c>
      <c r="D42" s="6">
        <v>17832</v>
      </c>
      <c r="E42" s="6">
        <f t="shared" si="0"/>
        <v>3566.4</v>
      </c>
      <c r="F42" s="6">
        <f t="shared" si="1"/>
        <v>91936.4</v>
      </c>
      <c r="G42" s="6">
        <v>1724</v>
      </c>
      <c r="H42" s="7">
        <f t="shared" si="2"/>
        <v>18.752093838784202</v>
      </c>
      <c r="I42" s="7">
        <v>6.8</v>
      </c>
      <c r="J42" s="7">
        <v>11.7</v>
      </c>
      <c r="K42" s="7">
        <v>5.3163299376154303</v>
      </c>
      <c r="L42" s="6">
        <v>366</v>
      </c>
      <c r="M42" s="8">
        <v>47.05</v>
      </c>
      <c r="N42" s="8">
        <v>6.5</v>
      </c>
      <c r="O42" s="8">
        <v>4.9000000000000004</v>
      </c>
    </row>
    <row r="43" spans="1:15">
      <c r="A43" s="6" t="s">
        <v>98</v>
      </c>
      <c r="B43" s="5" t="s">
        <v>99</v>
      </c>
      <c r="C43" s="6">
        <v>71495</v>
      </c>
      <c r="D43" s="6">
        <v>14251</v>
      </c>
      <c r="E43" s="6">
        <f t="shared" si="0"/>
        <v>2850.2</v>
      </c>
      <c r="F43" s="6">
        <f t="shared" si="1"/>
        <v>74345.2</v>
      </c>
      <c r="G43" s="6">
        <v>1278</v>
      </c>
      <c r="H43" s="7">
        <f t="shared" si="2"/>
        <v>17.190080866014217</v>
      </c>
      <c r="I43" s="7">
        <v>6</v>
      </c>
      <c r="J43" s="7">
        <v>13.2</v>
      </c>
      <c r="K43" s="7">
        <v>6.51210542021325</v>
      </c>
      <c r="L43" s="6">
        <v>659</v>
      </c>
      <c r="M43" s="8">
        <v>41.16</v>
      </c>
      <c r="N43" s="8">
        <v>6.8</v>
      </c>
      <c r="O43" s="8">
        <v>6.5</v>
      </c>
    </row>
    <row r="44" spans="1:15">
      <c r="A44" s="6" t="s">
        <v>100</v>
      </c>
      <c r="B44" s="5" t="s">
        <v>101</v>
      </c>
      <c r="C44" s="6">
        <v>184447</v>
      </c>
      <c r="D44" s="6">
        <v>44441</v>
      </c>
      <c r="E44" s="6">
        <f t="shared" si="0"/>
        <v>8888.2000000000007</v>
      </c>
      <c r="F44" s="6">
        <f t="shared" si="1"/>
        <v>193335.2</v>
      </c>
      <c r="G44" s="6">
        <v>2511</v>
      </c>
      <c r="H44" s="7">
        <f t="shared" si="2"/>
        <v>12.987805634980075</v>
      </c>
      <c r="I44" s="7">
        <v>7.4</v>
      </c>
      <c r="J44" s="7">
        <v>15.8</v>
      </c>
      <c r="K44" s="7">
        <v>9.0790482147464804</v>
      </c>
      <c r="L44" s="6">
        <v>777</v>
      </c>
      <c r="M44" s="8">
        <v>45.37</v>
      </c>
      <c r="N44" s="8">
        <v>6.8</v>
      </c>
      <c r="O44" s="8">
        <v>4.2</v>
      </c>
    </row>
    <row r="45" spans="1:15">
      <c r="A45" s="6" t="s">
        <v>102</v>
      </c>
      <c r="B45" s="5" t="s">
        <v>103</v>
      </c>
      <c r="C45" s="6">
        <v>48196</v>
      </c>
      <c r="D45" s="6">
        <v>10719</v>
      </c>
      <c r="E45" s="6">
        <f t="shared" si="0"/>
        <v>2143.8000000000002</v>
      </c>
      <c r="F45" s="6">
        <f t="shared" si="1"/>
        <v>50339.8</v>
      </c>
      <c r="G45" s="6">
        <v>836</v>
      </c>
      <c r="H45" s="7">
        <f t="shared" si="2"/>
        <v>16.607137890893487</v>
      </c>
      <c r="I45" s="7">
        <v>5.7</v>
      </c>
      <c r="J45" s="7">
        <v>12.3</v>
      </c>
      <c r="K45" s="7">
        <v>3.6581239704577402</v>
      </c>
      <c r="L45" s="6">
        <v>358</v>
      </c>
      <c r="M45" s="8">
        <v>46.28</v>
      </c>
      <c r="N45" s="8">
        <v>7.5</v>
      </c>
      <c r="O45" s="8">
        <v>5.4</v>
      </c>
    </row>
    <row r="46" spans="1:15">
      <c r="A46" s="6" t="s">
        <v>104</v>
      </c>
      <c r="B46" s="5" t="s">
        <v>105</v>
      </c>
      <c r="C46" s="6">
        <v>364773</v>
      </c>
      <c r="D46" s="6">
        <v>91944</v>
      </c>
      <c r="E46" s="6">
        <f t="shared" si="0"/>
        <v>18388.8</v>
      </c>
      <c r="F46" s="6">
        <f t="shared" si="1"/>
        <v>383161.8</v>
      </c>
      <c r="G46" s="6">
        <v>3828</v>
      </c>
      <c r="H46" s="7">
        <f t="shared" si="2"/>
        <v>9.9905575138231431</v>
      </c>
      <c r="I46" s="7">
        <v>5.5</v>
      </c>
      <c r="J46" s="7">
        <v>10.5</v>
      </c>
      <c r="K46" s="7">
        <v>5.7911783547835398</v>
      </c>
      <c r="L46" s="6">
        <v>657</v>
      </c>
      <c r="M46" s="8">
        <v>56.33</v>
      </c>
      <c r="N46" s="8">
        <v>10</v>
      </c>
      <c r="O46" s="8">
        <v>3.8</v>
      </c>
    </row>
    <row r="47" spans="1:15">
      <c r="A47" s="6" t="s">
        <v>106</v>
      </c>
      <c r="B47" s="5" t="s">
        <v>107</v>
      </c>
      <c r="C47" s="6">
        <v>169346</v>
      </c>
      <c r="D47" s="6">
        <v>39318</v>
      </c>
      <c r="E47" s="6">
        <f t="shared" si="0"/>
        <v>7863.6</v>
      </c>
      <c r="F47" s="6">
        <f t="shared" si="1"/>
        <v>177209.60000000001</v>
      </c>
      <c r="G47" s="6">
        <v>2242</v>
      </c>
      <c r="H47" s="7">
        <f t="shared" si="2"/>
        <v>12.65168478457149</v>
      </c>
      <c r="I47" s="7">
        <v>7.1</v>
      </c>
      <c r="J47" s="7">
        <v>13.9</v>
      </c>
      <c r="K47" s="7">
        <v>10.8143112184532</v>
      </c>
      <c r="L47" s="6">
        <v>753</v>
      </c>
      <c r="M47" s="8">
        <v>47.27</v>
      </c>
      <c r="N47" s="8">
        <v>6.9</v>
      </c>
      <c r="O47" s="8">
        <v>3.7</v>
      </c>
    </row>
    <row r="48" spans="1:15">
      <c r="A48" s="6" t="s">
        <v>108</v>
      </c>
      <c r="B48" s="5" t="s">
        <v>109</v>
      </c>
      <c r="C48" s="6">
        <v>32036</v>
      </c>
      <c r="D48" s="6">
        <v>6389</v>
      </c>
      <c r="E48" s="6">
        <f t="shared" si="0"/>
        <v>1277.8</v>
      </c>
      <c r="F48" s="6">
        <f t="shared" si="1"/>
        <v>33313.800000000003</v>
      </c>
      <c r="G48" s="6">
        <v>615</v>
      </c>
      <c r="H48" s="7">
        <f t="shared" si="2"/>
        <v>18.46081803937107</v>
      </c>
      <c r="I48" s="7">
        <v>7.3</v>
      </c>
      <c r="J48" s="7">
        <v>15.3</v>
      </c>
      <c r="K48" s="7">
        <v>7.29731237243415</v>
      </c>
      <c r="L48" s="6">
        <v>309</v>
      </c>
      <c r="M48" s="8">
        <v>47.93</v>
      </c>
      <c r="N48" s="8">
        <v>8.3000000000000007</v>
      </c>
      <c r="O48" s="8">
        <v>8.4</v>
      </c>
    </row>
    <row r="49" spans="1:15">
      <c r="A49" s="6" t="s">
        <v>110</v>
      </c>
      <c r="B49" s="5" t="s">
        <v>111</v>
      </c>
      <c r="C49" s="6">
        <v>69323</v>
      </c>
      <c r="D49" s="6">
        <v>14801</v>
      </c>
      <c r="E49" s="6">
        <f t="shared" si="0"/>
        <v>2960.2</v>
      </c>
      <c r="F49" s="6">
        <f t="shared" si="1"/>
        <v>72283.199999999997</v>
      </c>
      <c r="G49" s="6">
        <v>1225</v>
      </c>
      <c r="H49" s="7">
        <f t="shared" si="2"/>
        <v>16.947229785067623</v>
      </c>
      <c r="I49" s="7">
        <v>7.2</v>
      </c>
      <c r="J49" s="7">
        <v>17.7</v>
      </c>
      <c r="K49" s="7">
        <v>9.6577980504097098</v>
      </c>
      <c r="L49" s="6">
        <v>351</v>
      </c>
      <c r="M49" s="8">
        <v>42.74</v>
      </c>
      <c r="N49" s="8">
        <v>11.3</v>
      </c>
      <c r="O49" s="8">
        <v>6</v>
      </c>
    </row>
    <row r="50" spans="1:15">
      <c r="A50" s="6" t="s">
        <v>112</v>
      </c>
      <c r="B50" s="5" t="s">
        <v>113</v>
      </c>
      <c r="C50" s="6">
        <v>15351</v>
      </c>
      <c r="D50" s="6">
        <v>3593</v>
      </c>
      <c r="E50" s="6">
        <f t="shared" si="0"/>
        <v>718.6</v>
      </c>
      <c r="F50" s="6">
        <f t="shared" si="1"/>
        <v>16069.6</v>
      </c>
      <c r="G50" s="6">
        <v>279</v>
      </c>
      <c r="H50" s="7">
        <f t="shared" si="2"/>
        <v>17.361975406979639</v>
      </c>
      <c r="I50" s="7">
        <v>4.7</v>
      </c>
      <c r="J50" s="7">
        <v>15.5</v>
      </c>
      <c r="K50" s="7">
        <v>5.5184442907026403</v>
      </c>
      <c r="L50" s="6">
        <v>392</v>
      </c>
      <c r="M50" s="8">
        <v>48.83</v>
      </c>
      <c r="N50" s="8">
        <v>10.6</v>
      </c>
      <c r="O50" s="8">
        <v>46.2</v>
      </c>
    </row>
    <row r="51" spans="1:15">
      <c r="A51" s="6" t="s">
        <v>114</v>
      </c>
      <c r="B51" s="5" t="s">
        <v>115</v>
      </c>
      <c r="C51" s="6">
        <v>204201</v>
      </c>
      <c r="D51" s="6">
        <v>51876</v>
      </c>
      <c r="E51" s="6">
        <f t="shared" si="0"/>
        <v>10375.200000000001</v>
      </c>
      <c r="F51" s="6">
        <f t="shared" si="1"/>
        <v>214576.2</v>
      </c>
      <c r="G51" s="6">
        <v>3299</v>
      </c>
      <c r="H51" s="7">
        <f t="shared" si="2"/>
        <v>15.374491672422197</v>
      </c>
      <c r="I51" s="7">
        <v>6.3</v>
      </c>
      <c r="J51" s="7">
        <v>11.5</v>
      </c>
      <c r="K51" s="7">
        <v>4.6422385635364698</v>
      </c>
      <c r="L51" s="6">
        <v>801</v>
      </c>
      <c r="M51" s="8">
        <v>48.08</v>
      </c>
      <c r="N51" s="8">
        <v>8.9</v>
      </c>
      <c r="O51" s="8">
        <v>4.3</v>
      </c>
    </row>
    <row r="52" spans="1:15">
      <c r="A52" s="6" t="s">
        <v>116</v>
      </c>
      <c r="B52" s="5" t="s">
        <v>117</v>
      </c>
      <c r="C52" s="6">
        <v>104492</v>
      </c>
      <c r="D52" s="6">
        <v>21531</v>
      </c>
      <c r="E52" s="6">
        <f t="shared" si="0"/>
        <v>4306.2</v>
      </c>
      <c r="F52" s="6">
        <f t="shared" si="1"/>
        <v>108798.2</v>
      </c>
      <c r="G52" s="6">
        <v>2230</v>
      </c>
      <c r="H52" s="7">
        <f t="shared" si="2"/>
        <v>20.496662628609666</v>
      </c>
      <c r="I52" s="7">
        <v>5.0999999999999996</v>
      </c>
      <c r="J52" s="7">
        <v>11.7</v>
      </c>
      <c r="K52" s="7">
        <v>2.88296725380133</v>
      </c>
      <c r="L52" s="6">
        <v>772</v>
      </c>
      <c r="M52" s="8">
        <v>41.73</v>
      </c>
      <c r="N52" s="8">
        <v>5.7</v>
      </c>
      <c r="O52" s="8">
        <v>5.3</v>
      </c>
    </row>
    <row r="53" spans="1:15">
      <c r="A53" s="6" t="s">
        <v>118</v>
      </c>
      <c r="B53" s="5" t="s">
        <v>119</v>
      </c>
      <c r="C53" s="6">
        <v>130840</v>
      </c>
      <c r="D53" s="6">
        <v>36607</v>
      </c>
      <c r="E53" s="6">
        <f t="shared" si="0"/>
        <v>7321.4</v>
      </c>
      <c r="F53" s="6">
        <f t="shared" si="1"/>
        <v>138161.4</v>
      </c>
      <c r="G53" s="6">
        <v>2152</v>
      </c>
      <c r="H53" s="7">
        <f t="shared" si="2"/>
        <v>15.575985767370625</v>
      </c>
      <c r="I53" s="7">
        <v>7.2</v>
      </c>
      <c r="J53" s="7">
        <v>15</v>
      </c>
      <c r="K53" s="7">
        <v>6.9479098755125897</v>
      </c>
      <c r="L53" s="6">
        <v>1289</v>
      </c>
      <c r="M53" s="8">
        <v>46.59</v>
      </c>
      <c r="N53" s="8">
        <v>6</v>
      </c>
      <c r="O53" s="8">
        <v>4.5</v>
      </c>
    </row>
    <row r="54" spans="1:15">
      <c r="A54" s="6" t="s">
        <v>120</v>
      </c>
      <c r="B54" s="5" t="s">
        <v>121</v>
      </c>
      <c r="C54" s="6">
        <v>34694</v>
      </c>
      <c r="D54" s="6">
        <v>8708</v>
      </c>
      <c r="E54" s="6">
        <f t="shared" si="0"/>
        <v>1741.6</v>
      </c>
      <c r="F54" s="6">
        <f t="shared" si="1"/>
        <v>36435.599999999999</v>
      </c>
      <c r="G54" s="6">
        <v>938</v>
      </c>
      <c r="H54" s="7">
        <f t="shared" si="2"/>
        <v>25.744052520062798</v>
      </c>
      <c r="I54" s="7">
        <v>6.4</v>
      </c>
      <c r="J54" s="7">
        <v>15.3</v>
      </c>
      <c r="K54" s="7">
        <v>4.4810886325013097</v>
      </c>
      <c r="L54" s="6">
        <v>916</v>
      </c>
      <c r="M54" s="8">
        <v>37.46</v>
      </c>
      <c r="N54" s="8">
        <v>9.5</v>
      </c>
      <c r="O54" s="8">
        <v>5.8</v>
      </c>
    </row>
    <row r="55" spans="1:15">
      <c r="A55" s="6" t="s">
        <v>122</v>
      </c>
      <c r="B55" s="5" t="s">
        <v>123</v>
      </c>
      <c r="C55" s="6">
        <v>73867</v>
      </c>
      <c r="D55" s="6">
        <v>15664</v>
      </c>
      <c r="E55" s="6">
        <f t="shared" si="0"/>
        <v>3132.8</v>
      </c>
      <c r="F55" s="6">
        <f t="shared" si="1"/>
        <v>76999.8</v>
      </c>
      <c r="G55" s="6">
        <v>1285</v>
      </c>
      <c r="H55" s="7">
        <f t="shared" si="2"/>
        <v>16.688355034688399</v>
      </c>
      <c r="I55" s="7">
        <v>4.8</v>
      </c>
      <c r="J55" s="7">
        <v>11.5</v>
      </c>
      <c r="K55" s="7">
        <v>4.0686593824344603</v>
      </c>
      <c r="L55" s="6">
        <v>537</v>
      </c>
      <c r="M55" s="8">
        <v>41.94</v>
      </c>
      <c r="N55" s="8">
        <v>2.4</v>
      </c>
      <c r="O55" s="8">
        <v>5.7</v>
      </c>
    </row>
    <row r="56" spans="1:15">
      <c r="A56" s="6" t="s">
        <v>124</v>
      </c>
      <c r="B56" s="5" t="s">
        <v>125</v>
      </c>
      <c r="C56" s="6">
        <v>164922</v>
      </c>
      <c r="D56" s="6">
        <v>50125</v>
      </c>
      <c r="E56" s="6">
        <f t="shared" si="0"/>
        <v>10025</v>
      </c>
      <c r="F56" s="6">
        <f t="shared" si="1"/>
        <v>174947</v>
      </c>
      <c r="G56" s="6">
        <v>2682</v>
      </c>
      <c r="H56" s="7">
        <f t="shared" si="2"/>
        <v>15.330357193893008</v>
      </c>
      <c r="I56" s="7">
        <v>7</v>
      </c>
      <c r="J56" s="7">
        <v>15.3</v>
      </c>
      <c r="K56" s="7">
        <v>9.4809801381774808</v>
      </c>
      <c r="L56" s="6">
        <v>736</v>
      </c>
      <c r="M56" s="8">
        <v>48.79</v>
      </c>
      <c r="N56" s="8">
        <v>8</v>
      </c>
      <c r="O56" s="8">
        <v>4.0999999999999996</v>
      </c>
    </row>
    <row r="57" spans="1:15">
      <c r="A57" s="6" t="s">
        <v>126</v>
      </c>
      <c r="B57" s="5" t="s">
        <v>127</v>
      </c>
      <c r="C57" s="6">
        <v>37927</v>
      </c>
      <c r="D57" s="6">
        <v>8710</v>
      </c>
      <c r="E57" s="6">
        <f t="shared" si="0"/>
        <v>1742</v>
      </c>
      <c r="F57" s="6">
        <f t="shared" si="1"/>
        <v>39669</v>
      </c>
      <c r="G57" s="6">
        <v>932</v>
      </c>
      <c r="H57" s="7">
        <f t="shared" si="2"/>
        <v>23.494416294839798</v>
      </c>
      <c r="I57" s="7">
        <v>7.2</v>
      </c>
      <c r="J57" s="7">
        <v>14.8</v>
      </c>
      <c r="K57" s="7">
        <v>4.9358965805511401</v>
      </c>
      <c r="L57" s="6">
        <v>542</v>
      </c>
      <c r="M57" s="8">
        <v>40.57</v>
      </c>
      <c r="N57" s="8">
        <v>12.8</v>
      </c>
      <c r="O57" s="8">
        <v>5.6</v>
      </c>
    </row>
    <row r="58" spans="1:15">
      <c r="A58" s="6" t="s">
        <v>128</v>
      </c>
      <c r="B58" s="5" t="s">
        <v>129</v>
      </c>
      <c r="C58" s="6">
        <v>165467</v>
      </c>
      <c r="D58" s="6">
        <v>35572</v>
      </c>
      <c r="E58" s="6">
        <f t="shared" si="0"/>
        <v>7114.4</v>
      </c>
      <c r="F58" s="6">
        <f t="shared" si="1"/>
        <v>172581.4</v>
      </c>
      <c r="G58" s="6">
        <v>1680</v>
      </c>
      <c r="H58" s="7">
        <f t="shared" si="2"/>
        <v>9.7345368620256867</v>
      </c>
      <c r="I58" s="7">
        <v>5.9</v>
      </c>
      <c r="J58" s="7">
        <v>11.1</v>
      </c>
      <c r="K58" s="7">
        <v>3.5936824709357502</v>
      </c>
      <c r="L58" s="6">
        <v>499</v>
      </c>
      <c r="M58" s="8">
        <v>50</v>
      </c>
      <c r="N58" s="8">
        <v>5.3</v>
      </c>
      <c r="O58" s="8">
        <v>4.5999999999999996</v>
      </c>
    </row>
    <row r="59" spans="1:15">
      <c r="A59" s="6" t="s">
        <v>130</v>
      </c>
      <c r="B59" s="5" t="s">
        <v>131</v>
      </c>
      <c r="C59" s="6">
        <v>230636</v>
      </c>
      <c r="D59" s="6">
        <v>55761</v>
      </c>
      <c r="E59" s="6">
        <f t="shared" si="0"/>
        <v>11152.2</v>
      </c>
      <c r="F59" s="6">
        <f t="shared" si="1"/>
        <v>241788.2</v>
      </c>
      <c r="G59" s="6">
        <v>2758</v>
      </c>
      <c r="H59" s="7">
        <f t="shared" si="2"/>
        <v>11.406677414365134</v>
      </c>
      <c r="I59" s="7">
        <v>7.1</v>
      </c>
      <c r="J59" s="7">
        <v>15.9</v>
      </c>
      <c r="K59" s="7">
        <v>11.364750790176201</v>
      </c>
      <c r="L59" s="6">
        <v>745</v>
      </c>
      <c r="M59" s="8">
        <v>46.12</v>
      </c>
      <c r="N59" s="8">
        <v>8.5</v>
      </c>
      <c r="O59" s="8">
        <v>4</v>
      </c>
    </row>
    <row r="60" spans="1:15">
      <c r="A60" s="6" t="s">
        <v>132</v>
      </c>
      <c r="B60" s="5" t="s">
        <v>133</v>
      </c>
      <c r="C60" s="6">
        <v>37076</v>
      </c>
      <c r="D60" s="6">
        <v>8831</v>
      </c>
      <c r="E60" s="6">
        <f t="shared" si="0"/>
        <v>1766.2</v>
      </c>
      <c r="F60" s="6">
        <f t="shared" si="1"/>
        <v>38842.199999999997</v>
      </c>
      <c r="G60" s="6">
        <v>1097</v>
      </c>
      <c r="H60" s="7">
        <f t="shared" si="2"/>
        <v>28.242478541380255</v>
      </c>
      <c r="I60" s="7">
        <v>6.7</v>
      </c>
      <c r="J60" s="7">
        <v>16.100000000000001</v>
      </c>
      <c r="K60" s="7">
        <v>5.8779620328957201</v>
      </c>
      <c r="L60" s="6">
        <v>643</v>
      </c>
      <c r="M60" s="8">
        <v>39.17</v>
      </c>
      <c r="N60" s="8">
        <v>8.6999999999999993</v>
      </c>
      <c r="O60" s="8">
        <v>7.7</v>
      </c>
    </row>
    <row r="61" spans="1:15">
      <c r="A61" s="6" t="s">
        <v>134</v>
      </c>
      <c r="B61" s="5" t="s">
        <v>135</v>
      </c>
      <c r="C61" s="6">
        <v>657701</v>
      </c>
      <c r="D61" s="6">
        <v>179067</v>
      </c>
      <c r="E61" s="6">
        <f t="shared" si="0"/>
        <v>35813.4</v>
      </c>
      <c r="F61" s="6">
        <f t="shared" si="1"/>
        <v>693514.4</v>
      </c>
      <c r="G61" s="6">
        <v>12981</v>
      </c>
      <c r="H61" s="7">
        <f t="shared" si="2"/>
        <v>18.717707952423194</v>
      </c>
      <c r="I61" s="7">
        <v>9.6</v>
      </c>
      <c r="J61" s="7">
        <v>19.5</v>
      </c>
      <c r="K61" s="7">
        <v>7.3449323508338997</v>
      </c>
      <c r="L61" s="6">
        <v>1075</v>
      </c>
      <c r="M61" s="8">
        <v>48.7</v>
      </c>
      <c r="N61" s="8">
        <v>6.4</v>
      </c>
      <c r="O61" s="8">
        <v>4.2</v>
      </c>
    </row>
    <row r="62" spans="1:15">
      <c r="A62" s="6" t="s">
        <v>136</v>
      </c>
      <c r="B62" s="5" t="s">
        <v>137</v>
      </c>
      <c r="C62" s="6">
        <v>212729</v>
      </c>
      <c r="D62" s="6">
        <v>45322</v>
      </c>
      <c r="E62" s="6">
        <f t="shared" si="0"/>
        <v>9064.4</v>
      </c>
      <c r="F62" s="6">
        <f t="shared" si="1"/>
        <v>221793.4</v>
      </c>
      <c r="G62" s="6">
        <v>2320</v>
      </c>
      <c r="H62" s="7">
        <f t="shared" si="2"/>
        <v>10.460185019031226</v>
      </c>
      <c r="I62" s="7">
        <v>7.4</v>
      </c>
      <c r="J62" s="7">
        <v>13.4</v>
      </c>
      <c r="K62" s="7">
        <v>9.1652028326700599</v>
      </c>
      <c r="L62" s="6">
        <v>839</v>
      </c>
      <c r="M62" s="8">
        <v>45.88</v>
      </c>
      <c r="N62" s="8">
        <v>5.6</v>
      </c>
      <c r="O62" s="8">
        <v>4.8</v>
      </c>
    </row>
    <row r="63" spans="1:15">
      <c r="A63" s="6" t="s">
        <v>138</v>
      </c>
      <c r="B63" s="5" t="s">
        <v>139</v>
      </c>
      <c r="C63" s="6">
        <v>56975</v>
      </c>
      <c r="D63" s="6">
        <v>13045</v>
      </c>
      <c r="E63" s="6">
        <f t="shared" si="0"/>
        <v>2609</v>
      </c>
      <c r="F63" s="6">
        <f t="shared" si="1"/>
        <v>59584</v>
      </c>
      <c r="G63" s="6">
        <v>1184</v>
      </c>
      <c r="H63" s="7">
        <f t="shared" si="2"/>
        <v>19.871106337271751</v>
      </c>
      <c r="I63" s="7">
        <v>6.5</v>
      </c>
      <c r="J63" s="7">
        <v>15.6</v>
      </c>
      <c r="K63" s="7">
        <v>4.8637080294703399</v>
      </c>
      <c r="L63" s="6">
        <v>773</v>
      </c>
      <c r="M63" s="8">
        <v>37.159999999999997</v>
      </c>
      <c r="N63" s="8">
        <v>4.9000000000000004</v>
      </c>
      <c r="O63" s="8">
        <v>8.1</v>
      </c>
    </row>
    <row r="64" spans="1:15">
      <c r="A64" s="6" t="s">
        <v>140</v>
      </c>
      <c r="B64" s="5" t="s">
        <v>141</v>
      </c>
      <c r="C64" s="6">
        <v>356319</v>
      </c>
      <c r="D64" s="6">
        <v>82396</v>
      </c>
      <c r="E64" s="6">
        <f t="shared" si="0"/>
        <v>16479.2</v>
      </c>
      <c r="F64" s="6">
        <f t="shared" si="1"/>
        <v>372798.2</v>
      </c>
      <c r="G64" s="6">
        <v>8098</v>
      </c>
      <c r="H64" s="7">
        <f t="shared" si="2"/>
        <v>21.722207886196873</v>
      </c>
      <c r="I64" s="7">
        <v>8.5</v>
      </c>
      <c r="J64" s="7">
        <v>18.399999999999999</v>
      </c>
      <c r="K64" s="7">
        <v>2.5348070960667601</v>
      </c>
      <c r="L64" s="6">
        <v>1111</v>
      </c>
      <c r="M64" s="8">
        <v>42.66</v>
      </c>
      <c r="N64" s="8">
        <v>5.9</v>
      </c>
      <c r="O64" s="8">
        <v>4.5</v>
      </c>
    </row>
    <row r="65" spans="1:15">
      <c r="A65" s="6" t="s">
        <v>142</v>
      </c>
      <c r="B65" s="5" t="s">
        <v>143</v>
      </c>
      <c r="C65" s="6">
        <v>146848</v>
      </c>
      <c r="D65" s="6">
        <v>41690</v>
      </c>
      <c r="E65" s="6">
        <f t="shared" si="0"/>
        <v>8338</v>
      </c>
      <c r="F65" s="6">
        <f t="shared" si="1"/>
        <v>155186</v>
      </c>
      <c r="G65" s="6">
        <v>1865</v>
      </c>
      <c r="H65" s="7">
        <f t="shared" si="2"/>
        <v>12.017836660523502</v>
      </c>
      <c r="I65" s="7">
        <v>6.4</v>
      </c>
      <c r="J65" s="7">
        <v>13.9</v>
      </c>
      <c r="K65" s="7">
        <v>7.5617841347802601</v>
      </c>
      <c r="L65" s="6">
        <v>685</v>
      </c>
      <c r="M65" s="8">
        <v>50.82</v>
      </c>
      <c r="N65" s="8">
        <v>2.9</v>
      </c>
      <c r="O65" s="8">
        <v>6</v>
      </c>
    </row>
    <row r="66" spans="1:15">
      <c r="A66" s="6" t="s">
        <v>144</v>
      </c>
      <c r="B66" s="5" t="s">
        <v>145</v>
      </c>
      <c r="C66" s="6">
        <v>143654</v>
      </c>
      <c r="D66" s="6">
        <v>34126</v>
      </c>
      <c r="E66" s="6">
        <f t="shared" si="0"/>
        <v>6825.2</v>
      </c>
      <c r="F66" s="6">
        <f t="shared" si="1"/>
        <v>150479.20000000001</v>
      </c>
      <c r="G66" s="6">
        <v>2031</v>
      </c>
      <c r="H66" s="7">
        <f t="shared" si="2"/>
        <v>13.496881961094955</v>
      </c>
      <c r="I66" s="7">
        <v>5.6</v>
      </c>
      <c r="J66" s="7">
        <v>12.6</v>
      </c>
      <c r="K66" s="7">
        <v>7.7585643430305504</v>
      </c>
      <c r="L66" s="6">
        <v>547</v>
      </c>
      <c r="M66" s="8">
        <v>53.55</v>
      </c>
      <c r="N66" s="8">
        <v>8.1999999999999993</v>
      </c>
      <c r="O66" s="8">
        <v>5.0999999999999996</v>
      </c>
    </row>
    <row r="67" spans="1:15">
      <c r="A67" s="6" t="s">
        <v>146</v>
      </c>
      <c r="B67" s="5" t="s">
        <v>147</v>
      </c>
      <c r="C67" s="6">
        <v>45304</v>
      </c>
      <c r="D67" s="6">
        <v>11736</v>
      </c>
      <c r="E67" s="6">
        <f t="shared" ref="E67:E97" si="3">D67/5</f>
        <v>2347.1999999999998</v>
      </c>
      <c r="F67" s="6">
        <f t="shared" ref="F67:F101" si="4">C67+E67</f>
        <v>47651.199999999997</v>
      </c>
      <c r="G67" s="6">
        <v>843</v>
      </c>
      <c r="H67" s="7">
        <f t="shared" ref="H67:H97" si="5">(G67/F67)*1000</f>
        <v>17.691054999664228</v>
      </c>
      <c r="I67" s="7">
        <v>7.8</v>
      </c>
      <c r="J67" s="7">
        <v>16</v>
      </c>
      <c r="K67" s="7">
        <v>6.9976557082203703</v>
      </c>
      <c r="L67" s="6">
        <v>540</v>
      </c>
      <c r="M67" s="8">
        <v>46.29</v>
      </c>
      <c r="N67" s="8">
        <v>8.3000000000000007</v>
      </c>
      <c r="O67" s="8">
        <v>7.6</v>
      </c>
    </row>
    <row r="68" spans="1:15">
      <c r="A68" s="6" t="s">
        <v>148</v>
      </c>
      <c r="B68" s="5" t="s">
        <v>149</v>
      </c>
      <c r="C68" s="6">
        <v>104818</v>
      </c>
      <c r="D68" s="6">
        <v>23639</v>
      </c>
      <c r="E68" s="6">
        <f t="shared" si="3"/>
        <v>4727.8</v>
      </c>
      <c r="F68" s="6">
        <f t="shared" si="4"/>
        <v>109545.8</v>
      </c>
      <c r="G68" s="6">
        <v>1969</v>
      </c>
      <c r="H68" s="7">
        <f t="shared" si="5"/>
        <v>17.974217176742513</v>
      </c>
      <c r="I68" s="7">
        <v>12</v>
      </c>
      <c r="J68" s="7">
        <v>21.2</v>
      </c>
      <c r="K68" s="7">
        <v>10.6471163992793</v>
      </c>
      <c r="L68" s="6">
        <v>535</v>
      </c>
      <c r="M68" s="8">
        <v>46.72</v>
      </c>
      <c r="N68" s="8">
        <v>9</v>
      </c>
      <c r="O68" s="8">
        <v>4.3</v>
      </c>
    </row>
    <row r="69" spans="1:15">
      <c r="A69" s="6" t="s">
        <v>150</v>
      </c>
      <c r="B69" s="5" t="s">
        <v>151</v>
      </c>
      <c r="C69" s="6">
        <v>259590</v>
      </c>
      <c r="D69" s="6">
        <v>74546</v>
      </c>
      <c r="E69" s="6">
        <f t="shared" si="3"/>
        <v>14909.2</v>
      </c>
      <c r="F69" s="6">
        <f t="shared" si="4"/>
        <v>274499.20000000001</v>
      </c>
      <c r="G69" s="6">
        <v>3422</v>
      </c>
      <c r="H69" s="7">
        <f t="shared" si="5"/>
        <v>12.466338699712056</v>
      </c>
      <c r="I69" s="7">
        <v>6.3</v>
      </c>
      <c r="J69" s="7">
        <v>13.5</v>
      </c>
      <c r="K69" s="7">
        <v>11.745799638582399</v>
      </c>
      <c r="L69" s="6">
        <v>621</v>
      </c>
      <c r="M69" s="8">
        <v>51.43</v>
      </c>
      <c r="N69" s="8">
        <v>7</v>
      </c>
      <c r="O69" s="8">
        <v>3.5</v>
      </c>
    </row>
    <row r="70" spans="1:15">
      <c r="A70" s="6" t="s">
        <v>152</v>
      </c>
      <c r="B70" s="5" t="s">
        <v>153</v>
      </c>
      <c r="C70" s="6">
        <v>171007</v>
      </c>
      <c r="D70" s="6">
        <v>39456</v>
      </c>
      <c r="E70" s="6">
        <f t="shared" si="3"/>
        <v>7891.2</v>
      </c>
      <c r="F70" s="6">
        <f t="shared" si="4"/>
        <v>178898.2</v>
      </c>
      <c r="G70" s="6">
        <v>2639</v>
      </c>
      <c r="H70" s="7">
        <f t="shared" si="5"/>
        <v>14.751406106936793</v>
      </c>
      <c r="I70" s="7">
        <v>7</v>
      </c>
      <c r="J70" s="7">
        <v>13.7</v>
      </c>
      <c r="K70" s="7">
        <v>12.1910010823999</v>
      </c>
      <c r="L70" s="6">
        <v>658</v>
      </c>
      <c r="M70" s="8">
        <v>46.36</v>
      </c>
      <c r="N70" s="8">
        <v>7</v>
      </c>
      <c r="O70" s="8">
        <v>5.4</v>
      </c>
    </row>
    <row r="71" spans="1:15">
      <c r="A71" s="6" t="s">
        <v>154</v>
      </c>
      <c r="B71" s="5" t="s">
        <v>155</v>
      </c>
      <c r="C71" s="6">
        <v>473736</v>
      </c>
      <c r="D71" s="6">
        <v>140663</v>
      </c>
      <c r="E71" s="6">
        <f t="shared" si="3"/>
        <v>28132.6</v>
      </c>
      <c r="F71" s="6">
        <f t="shared" si="4"/>
        <v>501868.6</v>
      </c>
      <c r="G71" s="6">
        <f xml:space="preserve"> 1453+3678</f>
        <v>5131</v>
      </c>
      <c r="H71" s="7">
        <f t="shared" si="5"/>
        <v>10.223791645861088</v>
      </c>
      <c r="I71" s="7">
        <v>6.4</v>
      </c>
      <c r="J71" s="7">
        <v>14.8</v>
      </c>
      <c r="K71" s="7">
        <v>13.2295730299873</v>
      </c>
      <c r="L71" s="6">
        <v>958</v>
      </c>
      <c r="M71" s="8">
        <v>59.9</v>
      </c>
      <c r="N71" s="8">
        <v>8.3000000000000007</v>
      </c>
      <c r="O71" s="8">
        <v>4.5999999999999996</v>
      </c>
    </row>
    <row r="72" spans="1:15">
      <c r="A72" s="6" t="s">
        <v>156</v>
      </c>
      <c r="B72" s="5" t="s">
        <v>157</v>
      </c>
      <c r="C72" s="6">
        <v>50446</v>
      </c>
      <c r="D72" s="6">
        <v>10793</v>
      </c>
      <c r="E72" s="6">
        <f t="shared" si="3"/>
        <v>2158.6</v>
      </c>
      <c r="F72" s="6">
        <f t="shared" si="4"/>
        <v>52604.6</v>
      </c>
      <c r="G72" s="6">
        <v>1087</v>
      </c>
      <c r="H72" s="7">
        <f t="shared" si="5"/>
        <v>20.663592157339853</v>
      </c>
      <c r="I72" s="7">
        <v>6.4</v>
      </c>
      <c r="J72" s="7">
        <v>13.6</v>
      </c>
      <c r="K72" s="7">
        <v>4.6119015891178696</v>
      </c>
      <c r="L72" s="6">
        <v>490</v>
      </c>
      <c r="M72" s="8">
        <v>40.71</v>
      </c>
      <c r="N72" s="8">
        <v>8.8000000000000007</v>
      </c>
      <c r="O72" s="8">
        <v>4.9000000000000004</v>
      </c>
    </row>
    <row r="73" spans="1:15">
      <c r="A73" s="6" t="s">
        <v>158</v>
      </c>
      <c r="B73" s="5" t="s">
        <v>159</v>
      </c>
      <c r="C73" s="6">
        <v>113954</v>
      </c>
      <c r="D73" s="6">
        <v>24419</v>
      </c>
      <c r="E73" s="6">
        <f t="shared" si="3"/>
        <v>4883.8</v>
      </c>
      <c r="F73" s="6">
        <f t="shared" si="4"/>
        <v>118837.8</v>
      </c>
      <c r="G73" s="6">
        <v>1806</v>
      </c>
      <c r="H73" s="7">
        <f t="shared" si="5"/>
        <v>15.197184734150245</v>
      </c>
      <c r="I73" s="7">
        <v>6.5</v>
      </c>
      <c r="J73" s="7">
        <v>13.3</v>
      </c>
      <c r="K73" s="7">
        <v>7.0899735016521896</v>
      </c>
      <c r="L73" s="6">
        <v>767</v>
      </c>
      <c r="M73" s="8">
        <v>41.57</v>
      </c>
      <c r="N73" s="8">
        <v>7.3</v>
      </c>
      <c r="O73" s="8">
        <v>6</v>
      </c>
    </row>
    <row r="74" spans="1:15">
      <c r="A74" s="6" t="s">
        <v>160</v>
      </c>
      <c r="B74" s="5" t="s">
        <v>161</v>
      </c>
      <c r="C74" s="6">
        <v>133671</v>
      </c>
      <c r="D74" s="6">
        <v>31187</v>
      </c>
      <c r="E74" s="6">
        <f t="shared" si="3"/>
        <v>6237.4</v>
      </c>
      <c r="F74" s="6">
        <f t="shared" si="4"/>
        <v>139908.4</v>
      </c>
      <c r="G74" s="6">
        <v>2316</v>
      </c>
      <c r="H74" s="7">
        <f t="shared" si="5"/>
        <v>16.553687984424094</v>
      </c>
      <c r="I74" s="7">
        <v>7</v>
      </c>
      <c r="J74" s="7">
        <v>13.5</v>
      </c>
      <c r="K74" s="7">
        <v>4.7866846382932096</v>
      </c>
      <c r="L74" s="6">
        <v>699</v>
      </c>
      <c r="M74" s="8">
        <v>42</v>
      </c>
      <c r="N74" s="8">
        <v>9</v>
      </c>
      <c r="O74" s="8">
        <v>6.1</v>
      </c>
    </row>
    <row r="75" spans="1:15">
      <c r="A75" s="6" t="s">
        <v>162</v>
      </c>
      <c r="B75" s="5" t="s">
        <v>163</v>
      </c>
      <c r="C75" s="6">
        <v>101381</v>
      </c>
      <c r="D75" s="6">
        <v>23511</v>
      </c>
      <c r="E75" s="6">
        <f t="shared" si="3"/>
        <v>4702.2</v>
      </c>
      <c r="F75" s="6">
        <f t="shared" si="4"/>
        <v>106083.2</v>
      </c>
      <c r="G75" s="6">
        <v>1086</v>
      </c>
      <c r="H75" s="7">
        <f t="shared" si="5"/>
        <v>10.237247745166059</v>
      </c>
      <c r="I75" s="7">
        <v>5.3</v>
      </c>
      <c r="J75" s="7">
        <v>11.2</v>
      </c>
      <c r="K75" s="7">
        <v>8.2794677241890096</v>
      </c>
      <c r="L75" s="6">
        <v>790</v>
      </c>
      <c r="M75" s="8">
        <v>53.3</v>
      </c>
      <c r="N75" s="8">
        <v>10.7</v>
      </c>
      <c r="O75" s="8">
        <v>4.3</v>
      </c>
    </row>
    <row r="76" spans="1:15">
      <c r="A76" s="6" t="s">
        <v>164</v>
      </c>
      <c r="B76" s="5" t="s">
        <v>165</v>
      </c>
      <c r="C76" s="6">
        <v>207821</v>
      </c>
      <c r="D76" s="6">
        <v>42324</v>
      </c>
      <c r="E76" s="6">
        <f t="shared" si="3"/>
        <v>8464.7999999999993</v>
      </c>
      <c r="F76" s="6">
        <f t="shared" si="4"/>
        <v>216285.8</v>
      </c>
      <c r="G76" s="6">
        <v>1562</v>
      </c>
      <c r="H76" s="7">
        <f t="shared" si="5"/>
        <v>7.2219258037282152</v>
      </c>
      <c r="I76" s="7">
        <v>5.4</v>
      </c>
      <c r="J76" s="7">
        <v>9.5</v>
      </c>
      <c r="K76" s="7">
        <v>12.9782105574614</v>
      </c>
      <c r="L76" s="6">
        <v>640</v>
      </c>
      <c r="M76" s="8">
        <v>56.02</v>
      </c>
      <c r="N76" s="8">
        <v>7.3</v>
      </c>
      <c r="O76" s="8">
        <v>3.5</v>
      </c>
    </row>
    <row r="77" spans="1:15">
      <c r="A77" s="6" t="s">
        <v>166</v>
      </c>
      <c r="B77" s="5" t="s">
        <v>167</v>
      </c>
      <c r="C77" s="6">
        <v>373017</v>
      </c>
      <c r="D77" s="6">
        <v>168089</v>
      </c>
      <c r="E77" s="6">
        <f t="shared" si="3"/>
        <v>33617.800000000003</v>
      </c>
      <c r="F77" s="6">
        <f t="shared" si="4"/>
        <v>406634.8</v>
      </c>
      <c r="G77" s="6">
        <v>4885</v>
      </c>
      <c r="H77" s="7">
        <f t="shared" si="5"/>
        <v>12.013236447052737</v>
      </c>
      <c r="I77" s="7">
        <v>5.7</v>
      </c>
      <c r="J77" s="7">
        <v>15.6</v>
      </c>
      <c r="K77" s="7">
        <v>20.590232703476801</v>
      </c>
      <c r="L77" s="6">
        <v>1177</v>
      </c>
      <c r="M77" s="8">
        <v>77.64</v>
      </c>
      <c r="N77" s="8">
        <v>7.6</v>
      </c>
      <c r="O77" s="8">
        <v>1.9</v>
      </c>
    </row>
    <row r="78" spans="1:15">
      <c r="A78" s="6" t="s">
        <v>168</v>
      </c>
      <c r="B78" s="5" t="s">
        <v>169</v>
      </c>
      <c r="C78" s="6">
        <v>296515</v>
      </c>
      <c r="D78" s="6">
        <v>77744</v>
      </c>
      <c r="E78" s="6">
        <f t="shared" si="3"/>
        <v>15548.8</v>
      </c>
      <c r="F78" s="6">
        <f t="shared" si="4"/>
        <v>312063.8</v>
      </c>
      <c r="G78" s="6">
        <v>5104</v>
      </c>
      <c r="H78" s="7">
        <f t="shared" si="5"/>
        <v>16.355629842359157</v>
      </c>
      <c r="I78" s="7">
        <v>7.8</v>
      </c>
      <c r="J78" s="7">
        <v>15.4</v>
      </c>
      <c r="K78" s="7">
        <v>6.1516261584713403</v>
      </c>
      <c r="L78" s="6">
        <v>1185</v>
      </c>
      <c r="M78" s="8">
        <v>44.41</v>
      </c>
      <c r="N78" s="8">
        <v>7.8</v>
      </c>
      <c r="O78" s="8">
        <v>4.3</v>
      </c>
    </row>
    <row r="79" spans="1:15">
      <c r="A79" s="6" t="s">
        <v>170</v>
      </c>
      <c r="B79" s="5" t="s">
        <v>171</v>
      </c>
      <c r="C79" s="6">
        <v>390600</v>
      </c>
      <c r="D79" s="6">
        <v>88917</v>
      </c>
      <c r="E79" s="6">
        <f t="shared" si="3"/>
        <v>17783.400000000001</v>
      </c>
      <c r="F79" s="6">
        <f t="shared" si="4"/>
        <v>408383.4</v>
      </c>
      <c r="G79" s="6">
        <v>3404</v>
      </c>
      <c r="H79" s="7">
        <f t="shared" si="5"/>
        <v>8.3353045202131124</v>
      </c>
      <c r="I79" s="7">
        <v>6.7</v>
      </c>
      <c r="J79" s="7">
        <v>12.4</v>
      </c>
      <c r="K79" s="7">
        <v>14.9345039396706</v>
      </c>
      <c r="L79" s="6">
        <v>780</v>
      </c>
      <c r="M79" s="8">
        <v>53.35</v>
      </c>
      <c r="N79" s="8">
        <v>4</v>
      </c>
      <c r="O79" s="8">
        <v>3.4</v>
      </c>
    </row>
    <row r="80" spans="1:15">
      <c r="A80" s="6" t="s">
        <v>172</v>
      </c>
      <c r="B80" s="5" t="s">
        <v>173</v>
      </c>
      <c r="C80" s="6">
        <v>384488</v>
      </c>
      <c r="D80" s="6">
        <v>85228</v>
      </c>
      <c r="E80" s="6">
        <f t="shared" si="3"/>
        <v>17045.599999999999</v>
      </c>
      <c r="F80" s="6">
        <f t="shared" si="4"/>
        <v>401533.6</v>
      </c>
      <c r="G80" s="6">
        <v>2791</v>
      </c>
      <c r="H80" s="7">
        <f t="shared" si="5"/>
        <v>6.9508504394152828</v>
      </c>
      <c r="I80" s="7">
        <v>6.4</v>
      </c>
      <c r="J80" s="7">
        <v>10.5</v>
      </c>
      <c r="K80" s="7">
        <v>15.926251300845999</v>
      </c>
      <c r="L80" s="6">
        <v>914</v>
      </c>
      <c r="M80" s="8">
        <v>64.52</v>
      </c>
      <c r="N80" s="8">
        <v>4.3</v>
      </c>
      <c r="O80" s="8">
        <v>3.8</v>
      </c>
    </row>
    <row r="81" spans="1:15">
      <c r="A81" s="6" t="s">
        <v>174</v>
      </c>
      <c r="B81" s="5" t="s">
        <v>175</v>
      </c>
      <c r="C81" s="6">
        <v>81785</v>
      </c>
      <c r="D81" s="6">
        <v>17172</v>
      </c>
      <c r="E81" s="6">
        <f t="shared" si="3"/>
        <v>3434.4</v>
      </c>
      <c r="F81" s="6">
        <f t="shared" si="4"/>
        <v>85219.4</v>
      </c>
      <c r="G81" s="6">
        <v>1100</v>
      </c>
      <c r="H81" s="7">
        <f t="shared" si="5"/>
        <v>12.907859008629492</v>
      </c>
      <c r="I81" s="7">
        <v>5.3</v>
      </c>
      <c r="J81" s="7">
        <v>12.4</v>
      </c>
      <c r="K81" s="7">
        <v>4.9997970676514001</v>
      </c>
      <c r="L81" s="6">
        <v>415</v>
      </c>
      <c r="M81" s="8">
        <v>43.88</v>
      </c>
      <c r="N81" s="8">
        <v>5.5</v>
      </c>
      <c r="O81" s="8">
        <v>6.2</v>
      </c>
    </row>
    <row r="82" spans="1:15">
      <c r="A82" s="6" t="s">
        <v>176</v>
      </c>
      <c r="B82" s="5" t="s">
        <v>177</v>
      </c>
      <c r="C82" s="6">
        <v>129833</v>
      </c>
      <c r="D82" s="6">
        <v>36527</v>
      </c>
      <c r="E82" s="6">
        <f t="shared" si="3"/>
        <v>7305.4</v>
      </c>
      <c r="F82" s="6">
        <f t="shared" si="4"/>
        <v>137138.4</v>
      </c>
      <c r="G82" s="6">
        <v>2995</v>
      </c>
      <c r="H82" s="7">
        <f t="shared" si="5"/>
        <v>21.839251442338544</v>
      </c>
      <c r="I82" s="7">
        <v>8.6</v>
      </c>
      <c r="J82" s="7">
        <v>16.399999999999999</v>
      </c>
      <c r="K82" s="7">
        <v>4.1000909633728702</v>
      </c>
      <c r="L82" s="6">
        <v>755</v>
      </c>
      <c r="M82" s="8">
        <v>42.66</v>
      </c>
      <c r="N82" s="8">
        <v>5.5</v>
      </c>
      <c r="O82" s="8">
        <v>5.7</v>
      </c>
    </row>
    <row r="83" spans="1:15">
      <c r="A83" s="6" t="s">
        <v>178</v>
      </c>
      <c r="B83" s="5" t="s">
        <v>179</v>
      </c>
      <c r="C83" s="6">
        <v>84392</v>
      </c>
      <c r="D83" s="6">
        <v>18871</v>
      </c>
      <c r="E83" s="6">
        <f t="shared" si="3"/>
        <v>3774.2</v>
      </c>
      <c r="F83" s="6">
        <f t="shared" si="4"/>
        <v>88166.2</v>
      </c>
      <c r="G83" s="6">
        <v>1385</v>
      </c>
      <c r="H83" s="7">
        <f t="shared" si="5"/>
        <v>15.708967835746581</v>
      </c>
      <c r="I83" s="7">
        <v>7.9</v>
      </c>
      <c r="J83" s="7">
        <v>15.7</v>
      </c>
      <c r="K83" s="7">
        <v>6.68104100634506</v>
      </c>
      <c r="L83" s="6">
        <v>394</v>
      </c>
      <c r="M83" s="8">
        <v>47.55</v>
      </c>
      <c r="N83" s="8">
        <v>11.1</v>
      </c>
      <c r="O83" s="8">
        <v>6.8</v>
      </c>
    </row>
    <row r="84" spans="1:15">
      <c r="A84" s="6" t="s">
        <v>180</v>
      </c>
      <c r="B84" s="5" t="s">
        <v>181</v>
      </c>
      <c r="C84" s="6">
        <v>62867</v>
      </c>
      <c r="D84" s="6">
        <v>12514</v>
      </c>
      <c r="E84" s="6">
        <f t="shared" si="3"/>
        <v>2502.8000000000002</v>
      </c>
      <c r="F84" s="6">
        <f t="shared" si="4"/>
        <v>65369.8</v>
      </c>
      <c r="G84" s="6">
        <v>1070</v>
      </c>
      <c r="H84" s="7">
        <f t="shared" si="5"/>
        <v>16.368414772570819</v>
      </c>
      <c r="I84" s="7">
        <v>8.5</v>
      </c>
      <c r="J84" s="7">
        <v>16.7</v>
      </c>
      <c r="K84" s="7">
        <v>9.12668804648081</v>
      </c>
      <c r="L84" s="6">
        <v>348</v>
      </c>
      <c r="M84" s="8">
        <v>45.75</v>
      </c>
      <c r="N84" s="8">
        <v>4.0999999999999996</v>
      </c>
      <c r="O84" s="8">
        <v>6.4</v>
      </c>
    </row>
    <row r="85" spans="1:15">
      <c r="A85" s="6" t="s">
        <v>182</v>
      </c>
      <c r="B85" s="5" t="s">
        <v>183</v>
      </c>
      <c r="C85" s="6">
        <v>225014</v>
      </c>
      <c r="D85" s="6">
        <v>51661</v>
      </c>
      <c r="E85" s="6">
        <f t="shared" si="3"/>
        <v>10332.200000000001</v>
      </c>
      <c r="F85" s="6">
        <f t="shared" si="4"/>
        <v>235346.2</v>
      </c>
      <c r="G85" s="6">
        <v>2439</v>
      </c>
      <c r="H85" s="7">
        <f t="shared" si="5"/>
        <v>10.363456049003553</v>
      </c>
      <c r="I85" s="7">
        <v>7.3</v>
      </c>
      <c r="J85" s="7">
        <v>15.6</v>
      </c>
      <c r="K85" s="7">
        <v>7.7631048825628604</v>
      </c>
      <c r="L85" s="6">
        <v>523</v>
      </c>
      <c r="M85" s="8">
        <v>50.94</v>
      </c>
      <c r="N85" s="8">
        <v>4.0999999999999996</v>
      </c>
      <c r="O85" s="8">
        <v>3.7</v>
      </c>
    </row>
    <row r="86" spans="1:15">
      <c r="A86" s="6" t="s">
        <v>184</v>
      </c>
      <c r="B86" s="5" t="s">
        <v>185</v>
      </c>
      <c r="C86" s="6">
        <v>130897</v>
      </c>
      <c r="D86" s="6">
        <v>26598</v>
      </c>
      <c r="E86" s="6">
        <f t="shared" si="3"/>
        <v>5319.6</v>
      </c>
      <c r="F86" s="6">
        <f t="shared" si="4"/>
        <v>136216.6</v>
      </c>
      <c r="G86" s="6">
        <v>1920</v>
      </c>
      <c r="H86" s="7">
        <f t="shared" si="5"/>
        <v>14.095198382575985</v>
      </c>
      <c r="I86" s="7">
        <v>9.6</v>
      </c>
      <c r="J86" s="7">
        <v>19.899999999999999</v>
      </c>
      <c r="K86" s="7">
        <v>11.50932051259</v>
      </c>
      <c r="L86" s="6">
        <v>654</v>
      </c>
      <c r="M86" s="8">
        <v>47.85</v>
      </c>
      <c r="N86" s="8">
        <v>3.5</v>
      </c>
      <c r="O86" s="8">
        <v>4.2</v>
      </c>
    </row>
    <row r="87" spans="1:15">
      <c r="A87" s="6" t="s">
        <v>186</v>
      </c>
      <c r="B87" s="5" t="s">
        <v>187</v>
      </c>
      <c r="C87" s="6">
        <v>155249</v>
      </c>
      <c r="D87" s="6">
        <v>32764</v>
      </c>
      <c r="E87" s="6">
        <f t="shared" si="3"/>
        <v>6552.8</v>
      </c>
      <c r="F87" s="6">
        <f t="shared" si="4"/>
        <v>161801.79999999999</v>
      </c>
      <c r="G87" s="6">
        <v>1730</v>
      </c>
      <c r="H87" s="7">
        <f t="shared" si="5"/>
        <v>10.692093660268306</v>
      </c>
      <c r="I87" s="7">
        <v>5.0999999999999996</v>
      </c>
      <c r="J87" s="7">
        <v>9.1</v>
      </c>
      <c r="K87" s="7">
        <v>2.7004750302824698</v>
      </c>
      <c r="L87" s="6">
        <v>358</v>
      </c>
      <c r="M87" s="8">
        <v>43.45</v>
      </c>
      <c r="N87" s="8">
        <v>4.8</v>
      </c>
      <c r="O87" s="8">
        <v>6</v>
      </c>
    </row>
    <row r="88" spans="1:15">
      <c r="A88" s="6" t="s">
        <v>188</v>
      </c>
      <c r="B88" s="5" t="s">
        <v>189</v>
      </c>
      <c r="C88" s="6">
        <v>100187</v>
      </c>
      <c r="D88" s="6">
        <v>29287</v>
      </c>
      <c r="E88" s="6">
        <f t="shared" si="3"/>
        <v>5857.4</v>
      </c>
      <c r="F88" s="6">
        <f t="shared" si="4"/>
        <v>106044.4</v>
      </c>
      <c r="G88" s="6">
        <v>1437</v>
      </c>
      <c r="H88" s="7">
        <f t="shared" si="5"/>
        <v>13.550927724613464</v>
      </c>
      <c r="I88" s="7">
        <v>6</v>
      </c>
      <c r="J88" s="7">
        <v>14.7</v>
      </c>
      <c r="K88" s="7">
        <v>5.8687906761093398</v>
      </c>
      <c r="L88" s="6">
        <v>606</v>
      </c>
      <c r="M88" s="8">
        <v>47.69</v>
      </c>
      <c r="N88" s="8">
        <v>7.8</v>
      </c>
      <c r="O88" s="8">
        <v>5.0999999999999996</v>
      </c>
    </row>
    <row r="89" spans="1:15">
      <c r="A89" s="6" t="s">
        <v>190</v>
      </c>
      <c r="B89" s="5" t="s">
        <v>191</v>
      </c>
      <c r="C89" s="6">
        <v>76303</v>
      </c>
      <c r="D89" s="6">
        <v>22002</v>
      </c>
      <c r="E89" s="6">
        <f t="shared" si="3"/>
        <v>4400.3999999999996</v>
      </c>
      <c r="F89" s="6">
        <f t="shared" si="4"/>
        <v>80703.399999999994</v>
      </c>
      <c r="G89" s="6">
        <v>1156</v>
      </c>
      <c r="H89" s="7">
        <f t="shared" si="5"/>
        <v>14.324055739906871</v>
      </c>
      <c r="I89" s="7">
        <v>6.4</v>
      </c>
      <c r="J89" s="7">
        <v>16.100000000000001</v>
      </c>
      <c r="K89" s="7">
        <v>7.9568938132501996</v>
      </c>
      <c r="L89" s="6">
        <v>715</v>
      </c>
      <c r="M89" s="8">
        <v>47.9</v>
      </c>
      <c r="N89" s="8">
        <v>4.8</v>
      </c>
      <c r="O89" s="8">
        <v>4.9000000000000004</v>
      </c>
    </row>
    <row r="90" spans="1:15">
      <c r="A90" s="6" t="s">
        <v>192</v>
      </c>
      <c r="B90" s="5" t="s">
        <v>193</v>
      </c>
      <c r="C90" s="6">
        <v>74214</v>
      </c>
      <c r="D90" s="6">
        <v>17233</v>
      </c>
      <c r="E90" s="6">
        <f t="shared" si="3"/>
        <v>3446.6</v>
      </c>
      <c r="F90" s="6">
        <f t="shared" si="4"/>
        <v>77660.600000000006</v>
      </c>
      <c r="G90" s="6">
        <v>1441</v>
      </c>
      <c r="H90" s="7">
        <f t="shared" si="5"/>
        <v>18.555097436795492</v>
      </c>
      <c r="I90" s="7">
        <v>7.7</v>
      </c>
      <c r="J90" s="7">
        <v>15.3</v>
      </c>
      <c r="K90" s="7">
        <v>4.7654961094937596</v>
      </c>
      <c r="L90" s="6">
        <v>677</v>
      </c>
      <c r="M90" s="8">
        <v>40.11</v>
      </c>
      <c r="N90" s="8">
        <v>12.3</v>
      </c>
      <c r="O90" s="8">
        <v>6.7</v>
      </c>
    </row>
    <row r="91" spans="1:15">
      <c r="A91" s="6" t="s">
        <v>194</v>
      </c>
      <c r="B91" s="5" t="s">
        <v>195</v>
      </c>
      <c r="C91" s="6">
        <v>73467</v>
      </c>
      <c r="D91" s="6">
        <v>13829</v>
      </c>
      <c r="E91" s="6">
        <f t="shared" si="3"/>
        <v>2765.8</v>
      </c>
      <c r="F91" s="6">
        <f t="shared" si="4"/>
        <v>76232.800000000003</v>
      </c>
      <c r="G91" s="6">
        <v>1690</v>
      </c>
      <c r="H91" s="7">
        <f t="shared" si="5"/>
        <v>22.168935156520551</v>
      </c>
      <c r="I91" s="7">
        <v>6.9</v>
      </c>
      <c r="J91" s="7">
        <v>14.9</v>
      </c>
      <c r="K91" s="7">
        <v>7.7231735649839299</v>
      </c>
      <c r="L91" s="6">
        <v>628</v>
      </c>
      <c r="M91" s="8">
        <v>39.61</v>
      </c>
      <c r="N91" s="8">
        <v>33.799999999999997</v>
      </c>
      <c r="O91" s="8">
        <v>7.2</v>
      </c>
    </row>
    <row r="92" spans="1:15">
      <c r="A92" s="6" t="s">
        <v>196</v>
      </c>
      <c r="B92" s="5" t="s">
        <v>197</v>
      </c>
      <c r="C92" s="6">
        <v>31648</v>
      </c>
      <c r="D92" s="6">
        <v>8667</v>
      </c>
      <c r="E92" s="6">
        <f t="shared" si="3"/>
        <v>1733.4</v>
      </c>
      <c r="F92" s="6">
        <f t="shared" si="4"/>
        <v>33381.4</v>
      </c>
      <c r="G92" s="6">
        <v>501</v>
      </c>
      <c r="H92" s="7">
        <f t="shared" si="5"/>
        <v>15.008357947839215</v>
      </c>
      <c r="I92" s="7">
        <v>8.4</v>
      </c>
      <c r="J92" s="7">
        <v>16.3</v>
      </c>
      <c r="K92" s="7">
        <v>9.9995078433545892</v>
      </c>
      <c r="L92" s="6">
        <v>1010</v>
      </c>
      <c r="M92" s="8">
        <v>47.11</v>
      </c>
      <c r="N92" s="8">
        <v>7.3</v>
      </c>
      <c r="O92" s="8">
        <v>3.1</v>
      </c>
    </row>
    <row r="93" spans="1:15">
      <c r="A93" s="6" t="s">
        <v>198</v>
      </c>
      <c r="B93" s="5" t="s">
        <v>199</v>
      </c>
      <c r="C93" s="6">
        <v>353062</v>
      </c>
      <c r="D93" s="6">
        <v>83212</v>
      </c>
      <c r="E93" s="6">
        <f t="shared" si="3"/>
        <v>16642.400000000001</v>
      </c>
      <c r="F93" s="6">
        <f t="shared" si="4"/>
        <v>369704.4</v>
      </c>
      <c r="G93" s="6">
        <v>3618</v>
      </c>
      <c r="H93" s="7">
        <f t="shared" si="5"/>
        <v>9.7861967561110976</v>
      </c>
      <c r="I93" s="7">
        <v>6.4</v>
      </c>
      <c r="J93" s="7">
        <v>13.9</v>
      </c>
      <c r="K93" s="7">
        <v>18.068333964357699</v>
      </c>
      <c r="L93" s="6">
        <v>1006</v>
      </c>
      <c r="M93" s="8">
        <v>57.73</v>
      </c>
      <c r="N93" s="8">
        <v>5.2</v>
      </c>
      <c r="O93" s="8">
        <v>3</v>
      </c>
    </row>
    <row r="94" spans="1:15">
      <c r="A94" s="6" t="s">
        <v>200</v>
      </c>
      <c r="B94" s="5" t="s">
        <v>201</v>
      </c>
      <c r="C94" s="6">
        <v>389841</v>
      </c>
      <c r="D94" s="6">
        <v>107635</v>
      </c>
      <c r="E94" s="6">
        <f t="shared" si="3"/>
        <v>21527</v>
      </c>
      <c r="F94" s="6">
        <f t="shared" si="4"/>
        <v>411368</v>
      </c>
      <c r="G94" s="6">
        <v>3145</v>
      </c>
      <c r="H94" s="7">
        <f t="shared" si="5"/>
        <v>7.6452227689076455</v>
      </c>
      <c r="I94" s="7">
        <v>5.8</v>
      </c>
      <c r="J94" s="7">
        <v>12.4</v>
      </c>
      <c r="K94" s="7">
        <v>19.657236979796998</v>
      </c>
      <c r="L94" s="6">
        <v>1257</v>
      </c>
      <c r="M94" s="8">
        <v>71.73</v>
      </c>
      <c r="N94" s="8">
        <v>5.8</v>
      </c>
      <c r="O94" s="8">
        <v>2.2000000000000002</v>
      </c>
    </row>
    <row r="95" spans="1:15">
      <c r="A95" s="6" t="s">
        <v>202</v>
      </c>
      <c r="B95" s="5" t="s">
        <v>203</v>
      </c>
      <c r="C95" s="6">
        <v>475601</v>
      </c>
      <c r="D95" s="6">
        <v>118443</v>
      </c>
      <c r="E95" s="6">
        <f t="shared" si="3"/>
        <v>23688.6</v>
      </c>
      <c r="F95" s="6">
        <f t="shared" si="4"/>
        <v>499289.59999999998</v>
      </c>
      <c r="G95" s="6">
        <v>5616</v>
      </c>
      <c r="H95" s="7">
        <f t="shared" si="5"/>
        <v>11.247981131591766</v>
      </c>
      <c r="I95" s="7">
        <v>10.3</v>
      </c>
      <c r="J95" s="7">
        <v>28.4</v>
      </c>
      <c r="K95" s="7">
        <v>31.1431365523366</v>
      </c>
      <c r="L95" s="6">
        <v>1414</v>
      </c>
      <c r="M95" s="8">
        <v>49.32</v>
      </c>
      <c r="N95" s="8">
        <v>4.0999999999999996</v>
      </c>
      <c r="O95" s="8">
        <v>1.8</v>
      </c>
    </row>
    <row r="96" spans="1:15">
      <c r="A96" s="6" t="s">
        <v>204</v>
      </c>
      <c r="B96" s="5" t="s">
        <v>205</v>
      </c>
      <c r="C96" s="6">
        <v>353080</v>
      </c>
      <c r="D96" s="6">
        <v>99668</v>
      </c>
      <c r="E96" s="6">
        <f t="shared" si="3"/>
        <v>19933.599999999999</v>
      </c>
      <c r="F96" s="6">
        <f t="shared" si="4"/>
        <v>373013.6</v>
      </c>
      <c r="G96" s="6">
        <v>3356</v>
      </c>
      <c r="H96" s="7">
        <f t="shared" si="5"/>
        <v>8.9969909944302309</v>
      </c>
      <c r="I96" s="7">
        <v>7.2</v>
      </c>
      <c r="J96" s="7">
        <v>17.2</v>
      </c>
      <c r="K96" s="7">
        <v>22.8658060674782</v>
      </c>
      <c r="L96" s="6">
        <v>1284</v>
      </c>
      <c r="M96" s="8">
        <v>60.82</v>
      </c>
      <c r="N96" s="8">
        <v>4.4000000000000004</v>
      </c>
      <c r="O96" s="8">
        <v>2.2999999999999998</v>
      </c>
    </row>
    <row r="97" spans="1:15">
      <c r="A97" s="6" t="s">
        <v>206</v>
      </c>
      <c r="B97" s="5" t="s">
        <v>207</v>
      </c>
      <c r="C97" s="6">
        <v>356538</v>
      </c>
      <c r="D97" s="6">
        <v>80765</v>
      </c>
      <c r="E97" s="6">
        <f t="shared" si="3"/>
        <v>16153</v>
      </c>
      <c r="F97" s="6">
        <f t="shared" si="4"/>
        <v>372691</v>
      </c>
      <c r="G97" s="6">
        <v>3357</v>
      </c>
      <c r="H97" s="7">
        <f>(G97/F97)*1000</f>
        <v>9.0074619456869112</v>
      </c>
      <c r="I97" s="7">
        <v>8</v>
      </c>
      <c r="J97" s="7">
        <v>17.7</v>
      </c>
      <c r="K97" s="7">
        <v>21.145815133453301</v>
      </c>
      <c r="L97" s="6">
        <v>1039</v>
      </c>
      <c r="M97" s="8">
        <v>54.25</v>
      </c>
      <c r="N97" s="8">
        <v>4.9000000000000004</v>
      </c>
      <c r="O97" s="8">
        <v>2.6</v>
      </c>
    </row>
    <row r="98" spans="1:15">
      <c r="A98" s="6">
        <v>971</v>
      </c>
      <c r="B98" s="5" t="s">
        <v>208</v>
      </c>
      <c r="C98" s="6">
        <v>86261</v>
      </c>
      <c r="D98" s="6">
        <v>18396</v>
      </c>
      <c r="E98" s="6">
        <f>D98/5</f>
        <v>3679.2</v>
      </c>
      <c r="F98" s="6">
        <f t="shared" si="4"/>
        <v>89940.2</v>
      </c>
      <c r="G98" s="6">
        <v>1408</v>
      </c>
      <c r="H98" s="7">
        <f t="shared" ref="H98:H101" si="6">(G98/F98)*1000</f>
        <v>15.654846220043986</v>
      </c>
      <c r="I98" s="7">
        <v>18.5</v>
      </c>
      <c r="J98" s="7" t="s">
        <v>209</v>
      </c>
      <c r="K98" s="7">
        <v>5.6564825740251496</v>
      </c>
      <c r="L98" s="6" t="s">
        <v>209</v>
      </c>
      <c r="M98" s="8">
        <v>42.51</v>
      </c>
      <c r="N98" s="8">
        <v>4.7</v>
      </c>
      <c r="O98" s="8">
        <v>2.2999999999999998</v>
      </c>
    </row>
    <row r="99" spans="1:15">
      <c r="A99" s="6">
        <v>972</v>
      </c>
      <c r="B99" s="5" t="s">
        <v>210</v>
      </c>
      <c r="C99" s="6">
        <v>72668</v>
      </c>
      <c r="D99" s="6">
        <v>15683</v>
      </c>
      <c r="E99" s="6">
        <f t="shared" ref="E99:E101" si="7">D99/5</f>
        <v>3136.6</v>
      </c>
      <c r="F99" s="6">
        <f t="shared" si="4"/>
        <v>75804.600000000006</v>
      </c>
      <c r="G99" s="6">
        <v>1376</v>
      </c>
      <c r="H99" s="7">
        <f t="shared" si="6"/>
        <v>18.151932732314396</v>
      </c>
      <c r="I99" s="7">
        <v>10.8</v>
      </c>
      <c r="J99" s="7">
        <v>26.8</v>
      </c>
      <c r="K99" s="7">
        <v>2.7960338360902899</v>
      </c>
      <c r="L99" s="6" t="s">
        <v>209</v>
      </c>
      <c r="M99" s="8">
        <v>44</v>
      </c>
      <c r="N99" s="8">
        <v>7.1</v>
      </c>
      <c r="O99" s="8">
        <v>2</v>
      </c>
    </row>
    <row r="100" spans="1:15">
      <c r="A100" s="6">
        <v>973</v>
      </c>
      <c r="B100" s="5" t="s">
        <v>211</v>
      </c>
      <c r="C100" s="6">
        <v>120085</v>
      </c>
      <c r="D100" s="6">
        <v>21286</v>
      </c>
      <c r="E100" s="6">
        <f t="shared" si="7"/>
        <v>4257.2</v>
      </c>
      <c r="F100" s="6">
        <f t="shared" si="4"/>
        <v>124342.2</v>
      </c>
      <c r="G100" s="6">
        <v>1039</v>
      </c>
      <c r="H100" s="7">
        <f t="shared" si="6"/>
        <v>8.3559724695236213</v>
      </c>
      <c r="I100" s="7">
        <v>13.6</v>
      </c>
      <c r="J100" s="7" t="s">
        <v>209</v>
      </c>
      <c r="K100" s="7">
        <v>31.0962283411268</v>
      </c>
      <c r="L100" s="6" t="s">
        <v>209</v>
      </c>
      <c r="M100" s="8">
        <v>34.950000000000003</v>
      </c>
      <c r="N100" s="8">
        <v>2</v>
      </c>
      <c r="O100" s="8">
        <v>0.6</v>
      </c>
    </row>
    <row r="101" spans="1:15">
      <c r="A101" s="6">
        <v>974</v>
      </c>
      <c r="B101" s="5" t="s">
        <v>212</v>
      </c>
      <c r="C101" s="6">
        <v>254322</v>
      </c>
      <c r="D101" s="6">
        <v>49403</v>
      </c>
      <c r="E101" s="6">
        <f t="shared" si="7"/>
        <v>9880.6</v>
      </c>
      <c r="F101" s="6">
        <f t="shared" si="4"/>
        <v>264202.59999999998</v>
      </c>
      <c r="G101" s="6">
        <v>3331</v>
      </c>
      <c r="H101" s="7">
        <f t="shared" si="6"/>
        <v>12.607748750390799</v>
      </c>
      <c r="I101" s="7">
        <v>18.899999999999999</v>
      </c>
      <c r="J101" s="7">
        <v>36.1</v>
      </c>
      <c r="K101" s="7">
        <v>2.6508609307165401</v>
      </c>
      <c r="L101" s="6" t="s">
        <v>209</v>
      </c>
      <c r="M101" s="8">
        <v>39.57</v>
      </c>
      <c r="N101" s="8">
        <v>2.4</v>
      </c>
      <c r="O101" s="8">
        <v>2</v>
      </c>
    </row>
  </sheetData>
  <autoFilter ref="A1:M10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2025-11-17T13:37:35Z</dcterms:created>
  <dcterms:modified xsi:type="dcterms:W3CDTF">2025-12-02T10:39:20Z</dcterms:modified>
  <cp:category/>
  <cp:contentStatus/>
</cp:coreProperties>
</file>